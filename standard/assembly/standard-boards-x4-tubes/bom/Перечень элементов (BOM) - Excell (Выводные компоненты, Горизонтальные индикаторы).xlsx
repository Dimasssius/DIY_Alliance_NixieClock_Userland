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\BOM\"/>
    </mc:Choice>
  </mc:AlternateContent>
  <xr:revisionPtr revIDLastSave="0" documentId="8_{96AECD06-8620-447B-BB2C-0C9738221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3" i="3" l="1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<sst xmlns="http://schemas.openxmlformats.org/spreadsheetml/2006/main" count="190" uniqueCount="172">
  <si>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</si>
  <si>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</si>
  <si>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</si>
  <si>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</si>
  <si>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</si>
  <si>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</si>
  <si>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</si>
  <si>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</si>
  <si>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</si>
  <si>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</si>
  <si>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</si>
  <si>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</si>
  <si>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</si>
  <si>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</si>
  <si>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</si>
  <si>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</si>
  <si>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</si>
  <si>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</si>
  <si>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</si>
  <si>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</si>
  <si>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</si>
  <si>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</si>
  <si>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(Выводные компоненты, Горизонтальные индикаторы) for Variant [THD Variation - Horizontal Tubes] of Project [Nixie Clock Avito x4.PrjPcb] (No PCB Document Selected)</t>
  </si>
  <si>
    <t>Nixie Clock Avito x4.PrjPcb</t>
  </si>
  <si>
    <t>THD Variation - Horizontal Tubes</t>
  </si>
  <si>
    <t>04.06.2026</t>
  </si>
  <si>
    <t>51</t>
  </si>
  <si>
    <t>Designator</t>
  </si>
  <si>
    <t>C1</t>
  </si>
  <si>
    <t>C8</t>
  </si>
  <si>
    <t>C9</t>
  </si>
  <si>
    <t>C10, C11</t>
  </si>
  <si>
    <t>D1</t>
  </si>
  <si>
    <t>D2</t>
  </si>
  <si>
    <t>D3, D4</t>
  </si>
  <si>
    <t>IC1</t>
  </si>
  <si>
    <t>IC2</t>
  </si>
  <si>
    <t>IC3, IC4, IC5, IC6, IC7</t>
  </si>
  <si>
    <t>IC8</t>
  </si>
  <si>
    <t>J1</t>
  </si>
  <si>
    <t>J2</t>
  </si>
  <si>
    <t>J4</t>
  </si>
  <si>
    <t>L1</t>
  </si>
  <si>
    <t>LS1</t>
  </si>
  <si>
    <t>Q1</t>
  </si>
  <si>
    <t>Q2</t>
  </si>
  <si>
    <t>R1, R3, R7, R15</t>
  </si>
  <si>
    <t>R2</t>
  </si>
  <si>
    <t>R4</t>
  </si>
  <si>
    <t>R5</t>
  </si>
  <si>
    <t>R6</t>
  </si>
  <si>
    <t>R8</t>
  </si>
  <si>
    <t>R9</t>
  </si>
  <si>
    <t>R12</t>
  </si>
  <si>
    <t>R13</t>
  </si>
  <si>
    <t>R14</t>
  </si>
  <si>
    <t>R17</t>
  </si>
  <si>
    <t>R18</t>
  </si>
  <si>
    <t>R19</t>
  </si>
  <si>
    <t>R20</t>
  </si>
  <si>
    <t>R21, R22, R23, R24</t>
  </si>
  <si>
    <t>S2, S5, S8, S11</t>
  </si>
  <si>
    <t>S13</t>
  </si>
  <si>
    <t>U1</t>
  </si>
  <si>
    <t>Comment</t>
  </si>
  <si>
    <t>4.7uF</t>
  </si>
  <si>
    <t>100uF</t>
  </si>
  <si>
    <t>0.1uF</t>
  </si>
  <si>
    <t>BYV26C</t>
  </si>
  <si>
    <t>1N5819</t>
  </si>
  <si>
    <t>LED0603</t>
  </si>
  <si>
    <t>ARD-NANO30NP</t>
  </si>
  <si>
    <t>K155ID1</t>
  </si>
  <si>
    <t>TLP291</t>
  </si>
  <si>
    <t>DS3231 Mini</t>
  </si>
  <si>
    <t>Female Header 1x10-Pin</t>
  </si>
  <si>
    <t>Female Header 1x8-Pin</t>
  </si>
  <si>
    <t>MICRO 180 ZB</t>
  </si>
  <si>
    <t>XR6*8-151K-L</t>
  </si>
  <si>
    <t>FUET-4020</t>
  </si>
  <si>
    <t>STP20NF20</t>
  </si>
  <si>
    <t>MMBTA42</t>
  </si>
  <si>
    <t>10kΩ</t>
  </si>
  <si>
    <t>1kΩ</t>
  </si>
  <si>
    <t>680kΩ</t>
  </si>
  <si>
    <t>100Ω</t>
  </si>
  <si>
    <t>470Ω</t>
  </si>
  <si>
    <t>4.7kΩ</t>
  </si>
  <si>
    <t>3kΩ</t>
  </si>
  <si>
    <t>33kΩ</t>
  </si>
  <si>
    <t>56kΩ</t>
  </si>
  <si>
    <t>200Ω</t>
  </si>
  <si>
    <t>5.1kΩ</t>
  </si>
  <si>
    <t>10Ω</t>
  </si>
  <si>
    <t>TS-1187A-B-A-B</t>
  </si>
  <si>
    <t>BME280</t>
  </si>
  <si>
    <t>CH340C</t>
  </si>
  <si>
    <t>Description</t>
  </si>
  <si>
    <t>Capacitor, Aluminum Electrolytic Capacitor, Through Hole, D6.3xL12mm, 4.7uF, 400V, ±20%, Aluminum Electrolytic Capacitors - Leaded, ROHS</t>
  </si>
  <si>
    <t>Capacitor, Aluminum Electrolytic Capacitor, Through Hole, D4xL7mm, 100uF, 6.3V, ±20%, Aluminum Electrolytic Capacitors - Leaded, ROHS</t>
  </si>
  <si>
    <t>Capacitor, Ceramic, Through Hole, 50V, 100nF, X7R, ±10%, P=2.54mm, Ceramic Capacitors, RoHS</t>
  </si>
  <si>
    <t>Capacitor, Ceramic (MLCC), SMD, 100nF, 6.3V, ±10%, X7R, Multilayer Ceramic Capacitors MLCC - SMD/SMT, ROHS</t>
  </si>
  <si>
    <t>Diode, DO-41, 600V, 30A, 30ns, Independent, 2.5V@1A, 1A ,Single Diodes ROHS</t>
  </si>
  <si>
    <t>Diode Schottky, DO-41, 30A, Independent, 40V, 900mV@3A, 1A, Single Diodes, RoHS</t>
  </si>
  <si>
    <t>LED Indication - Discrete, 0603, 20mA, 225mcd, Colorless Transparent Lens, -20℃~+85℃, Positive Stick, 620nm~630nm, Red, 120°, 50mW, 2.3V, LED Indication - Discrete, ROHS</t>
  </si>
  <si>
    <t>Development Board, Arduino Nano v3.0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</si>
  <si>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</si>
  <si>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</si>
  <si>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Development Board, Real Time Clock</t>
  </si>
  <si>
    <t>Female Header, 1x10-Pin, 10P, P=2.54mm, Direct Insert, H:8.5mm, W:2.54mm, D:3.2mm, Single Row, Black Brass, Top Square, Hole Plugin, 3A, 20mΩ, 1000V, -40℃~+105℃, Female Headers, ROHS</t>
  </si>
  <si>
    <t>Female Header, 1x8-Pin, 8P, P=2.54mm, Direct Insert, H:8.5mm, W:2.54mm, D:3.2mm, Single Row, Black Brass, Top Square, Hole Plugin, 3A, 20mΩ, 1000V, -40℃~+105℃, Female Headers, ROHS</t>
  </si>
  <si>
    <t>USB Connector, 1.8A, USB 2.0, Vertical Attachment, 5P, Female, -20℃~+85℃, Micro-B, SMD, USB Connectors, ROHS</t>
  </si>
  <si>
    <t>Fixed Inductor, Through Hole, D6xL8mm, 150uH, ±10%, 500mA, 780mΩ,  Drum-core Inductor, Fixed Inductors, RoHS</t>
  </si>
  <si>
    <t>Buzzer, SMD, 4x4mm, 65dB, Passive (Externally Driven), Electromagnetic, 4kHz, Buzzers ROHS</t>
  </si>
  <si>
    <t>MOSFET (N-Channel), TO-220, 200V, 18A, 30W, 125mΩ@10V, 1 N-Channel, Single FETs, MOSFETs, RoHS</t>
  </si>
  <si>
    <t>Transistor Bipolar (BJT), NPN, SOT-23, 300V, 225mW, 25@10mA, 10V, 500mA, NPN Bipolar (BJT), ROHS</t>
  </si>
  <si>
    <t>Resistor, Metal Film Resistor, Through Hole, D2.3xL6.5mm, 10kΩ, ±1%, 250mW, Through Hole Resistors, ROHS</t>
  </si>
  <si>
    <t>Resistor, Metal Film Resistor, Through Hole, D2.3xL6.5mm, 1kΩ, ±1%, 250mW, Through Hole Resistors, ROHS</t>
  </si>
  <si>
    <t>Resistor, Metal Film Resistor, Through Hole, D2.3xL6.5mm, 680kΩ, ±1%, 250mW, Through Hole Resistors, ROHS</t>
  </si>
  <si>
    <t>Resistor, Metal Film Resistor, Through Hole, D2.3xL6.5mm, 100Ω, ±1%, 250mW, Through Hole Resistors, ROHS</t>
  </si>
  <si>
    <t>Resistor, Metal Film Resistor, Through Hole, D2.3xL6.5mm, 470Ω, ±1%, 250mW, Through Hole Resistors, ROHS</t>
  </si>
  <si>
    <t>Resistor, Metal Film Resistor, Through Hole, D2.3xL6.5mm, 4.7kΩ, ±1%, 250mW, Through Hole Resistors, ROHS</t>
  </si>
  <si>
    <t>Resistor, Metal Film Resistor, Through Hole, D2.3xL6.5mm, 3kΩ, ±1%, 250mW, Through Hole Resistors, ROHS</t>
  </si>
  <si>
    <t>Resistor, Metal Film Resistor, Through Hole, D2.3xL6.5mm, 33kΩ, ±1%, 250mW, Through Hole Resistors, ROHS</t>
  </si>
  <si>
    <t>Resistor, Metal Film Resistor, Through Hole, D2.3xL6.5mm, 56kΩ, ±1%, 250mW, Through Hole Resistors, ROHS</t>
  </si>
  <si>
    <t>Resistor, Metal Film Resistor, Through Hole, D2.3xL6.5mm, 200Ω, ±1%, 250mW, Through Hole Resistors, ROHS</t>
  </si>
  <si>
    <t>Resistor, Thick Film Resistor, SMD, 5.1kΩ, ±5%, Chip Resistor - Surface Mount, ROHS</t>
  </si>
  <si>
    <t>Resistor, Thick Film Resistor, SMD, 10Ω, ±5%, Chip Resistor - Surface Mount, ROHS</t>
  </si>
  <si>
    <t>Resistor, Thick Film Resistor, SMD, 100Ω, ±5%, Chip Resistor - Surface Mount, ROHS</t>
  </si>
  <si>
    <t>Resistor, Thick Film Resistor, SMD, 1kΩ, ±5%, Chip Resistor - Surface Mount, ROHS</t>
  </si>
  <si>
    <t>Switch Tactile, SMD, 5.1x5.1mm, Without bracket, 50mA, 100000 Times, 160gf, 12V, Round, SMD Tactile Switches, ROHS</t>
  </si>
  <si>
    <t>Development Board, LGA-8(2.5x2.5), Temperature and Humidity Sensor, ROHS</t>
  </si>
  <si>
    <t>USB Converter, SOP-16, 2Mbps Transceiver, USB 2.0, USB Converters,  ROHS</t>
  </si>
  <si>
    <t>Footprint</t>
  </si>
  <si>
    <t>CAP_THD_ELEC_ALUM_D8.0MM_H12.5MM_SHORT _SMD_C1828_#3_THD</t>
  </si>
  <si>
    <t>CAP_THD_ELEC_ALUM_D4.0MM_H7.0MM_THD/SMD_THD</t>
  </si>
  <si>
    <t>CAP_THD_CERML</t>
  </si>
  <si>
    <t>CAP_SMD_MLCC_C0603_(M1608)_C0402A_(M1005A)</t>
  </si>
  <si>
    <t>DO-41/DO-214AC_VERTICAL_SMD/THD_THD</t>
  </si>
  <si>
    <t>LED 0603_(1608)_0402A_(1005)</t>
  </si>
  <si>
    <t>ARDNANO30NP</t>
  </si>
  <si>
    <t>DIP16</t>
  </si>
  <si>
    <t>SOIC127P700X230-4N</t>
  </si>
  <si>
    <t>DS3231 Mini - Uspide Down</t>
  </si>
  <si>
    <t>HEADER_FEMALE_10PIN</t>
  </si>
  <si>
    <t>HEADER_FEMALE_8PIN</t>
  </si>
  <si>
    <t>USB_MIICRO_VERTICAL</t>
  </si>
  <si>
    <t>XR6*8-151K-L_FNR6045S151MT_THD</t>
  </si>
  <si>
    <t>TO-220/DPAK_THD/SMD_THD_#1</t>
  </si>
  <si>
    <t>SOT105P255X140-3N</t>
  </si>
  <si>
    <t>RES_THD/SMD_VERTICAL_R0603_R0402_10K_THD</t>
  </si>
  <si>
    <t>RES_THD/SMD_VERTICAL_R0603_R0402_1K_THD</t>
  </si>
  <si>
    <t>RES_THD/SMD_VERTICAL_R0603_R0402_680K_THD</t>
  </si>
  <si>
    <t>RES_THD/SMD_VERTICAL_R0603_R0402_100OHM_THD</t>
  </si>
  <si>
    <t>RES_THD/SMD_R0603_R0402_10K_THD</t>
  </si>
  <si>
    <t>RES_THD/SMD_VERTICAL_R0603_R0402_470OHM_THD</t>
  </si>
  <si>
    <t>RES_THD/SMD_VERTICAL_R0603_R0402_4.7K_THD</t>
  </si>
  <si>
    <t>RES_THD/SMD_VERTICAL_R0603_R0402_3K_THD</t>
  </si>
  <si>
    <t>RES_THD/SMD_VERTICAL_R0603_R0402_33K_THD</t>
  </si>
  <si>
    <t>RES_THD/SMD_VERTICAL_R0603_R0402_56K_THD</t>
  </si>
  <si>
    <t>RES_THD/SMD_VERTICAL_R0603_R0402_200OHM_THD</t>
  </si>
  <si>
    <t>RES_SMD_R0603_(M1608)_R0402A_(M1005A)</t>
  </si>
  <si>
    <t>BME280_DEVBOARD</t>
  </si>
  <si>
    <t>SOIC127P600X180-16N</t>
  </si>
  <si>
    <t>Quantity</t>
  </si>
  <si>
    <t>C:\Users\Dimasssius\Documents\Altium Designer\Projects\Nixie Clock\Avito Projects\Nixie Clock Avito x4\Nixie Clock Avito x4.PrjPcb</t>
  </si>
  <si>
    <t>22:25</t>
  </si>
  <si>
    <t>04.06.2026 22:25</t>
  </si>
  <si>
    <t>Перечень элементов (BOM) - Excell (Выводные компоненты, Горизонтальные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</si>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</sst>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3" totalsRowShown="0" headerRowDxfId="10" dataDxfId="8" headerRowBorderDxfId="9" tableBorderDxfId="7" totalsRowBorderDxfId="6" headerRowCellStyle="Акцент5" dataCellStyle="40% — акцент5">
  <autoFilter ref="B7:G43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7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64</v>
      </c>
      <c r="E7" s="25" t="s">
        <v>97</v>
      </c>
      <c r="F7" s="25" t="s">
        <v>133</v>
      </c>
      <c r="G7" s="26" t="s">
        <v>164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65</v>
      </c>
      <c r="E8" s="35" t="s">
        <v>98</v>
      </c>
      <c r="F8" s="38" t="s">
        <v>134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66</v>
      </c>
      <c r="E9" s="36" t="s">
        <v>99</v>
      </c>
      <c r="F9" s="41" t="s">
        <v>135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67</v>
      </c>
      <c r="E10" s="35" t="s">
        <v>100</v>
      </c>
      <c r="F10" s="38" t="s">
        <v>136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67</v>
      </c>
      <c r="E11" s="36" t="s">
        <v>101</v>
      </c>
      <c r="F11" s="41" t="s">
        <v>137</v>
      </c>
      <c r="G11" s="42">
        <v>2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68</v>
      </c>
      <c r="E12" s="35" t="s">
        <v>102</v>
      </c>
      <c r="F12" s="38" t="s">
        <v>138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69</v>
      </c>
      <c r="E13" s="36" t="s">
        <v>103</v>
      </c>
      <c r="F13" s="41" t="s">
        <v>138</v>
      </c>
      <c r="G13" s="42">
        <v>1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70</v>
      </c>
      <c r="E14" s="35" t="s">
        <v>104</v>
      </c>
      <c r="F14" s="38" t="s">
        <v>139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71</v>
      </c>
      <c r="E15" s="36" t="s">
        <v>105</v>
      </c>
      <c r="F15" s="41" t="s">
        <v>140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72</v>
      </c>
      <c r="E16" s="35" t="s">
        <v>106</v>
      </c>
      <c r="F16" s="38" t="s">
        <v>141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73</v>
      </c>
      <c r="E17" s="36" t="s">
        <v>107</v>
      </c>
      <c r="F17" s="41" t="s">
        <v>142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74</v>
      </c>
      <c r="E18" s="35" t="s">
        <v>108</v>
      </c>
      <c r="F18" s="38" t="s">
        <v>143</v>
      </c>
      <c r="G18" s="39">
        <v>1</v>
      </c>
    </row>
    <row r="19" spans="1:7" ht="27.6" x14ac:dyDescent="0.25">
      <c r="A19" s="14"/>
      <c r="B19" s="40">
        <f>ROW(B19) - ROW($B$7)</f>
        <v>12</v>
      </c>
      <c r="C19" s="36" t="s">
        <v>39</v>
      </c>
      <c r="D19" s="20" t="s">
        <v>75</v>
      </c>
      <c r="E19" s="36" t="s">
        <v>109</v>
      </c>
      <c r="F19" s="41" t="s">
        <v>144</v>
      </c>
      <c r="G19" s="42">
        <v>1</v>
      </c>
    </row>
    <row r="20" spans="1:7" ht="27.6" x14ac:dyDescent="0.25">
      <c r="A20" s="14"/>
      <c r="B20" s="37">
        <f>ROW(B20) - ROW($B$7)</f>
        <v>13</v>
      </c>
      <c r="C20" s="35" t="s">
        <v>40</v>
      </c>
      <c r="D20" s="19" t="s">
        <v>76</v>
      </c>
      <c r="E20" s="35" t="s">
        <v>110</v>
      </c>
      <c r="F20" s="38" t="s">
        <v>145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77</v>
      </c>
      <c r="E21" s="36" t="s">
        <v>111</v>
      </c>
      <c r="F21" s="41" t="s">
        <v>146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78</v>
      </c>
      <c r="E22" s="35" t="s">
        <v>112</v>
      </c>
      <c r="F22" s="38" t="s">
        <v>147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79</v>
      </c>
      <c r="E23" s="36" t="s">
        <v>113</v>
      </c>
      <c r="F23" s="41" t="s">
        <v>79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80</v>
      </c>
      <c r="E24" s="35" t="s">
        <v>114</v>
      </c>
      <c r="F24" s="38" t="s">
        <v>148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81</v>
      </c>
      <c r="E25" s="36" t="s">
        <v>115</v>
      </c>
      <c r="F25" s="41" t="s">
        <v>149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82</v>
      </c>
      <c r="E26" s="35" t="s">
        <v>116</v>
      </c>
      <c r="F26" s="38" t="s">
        <v>150</v>
      </c>
      <c r="G26" s="39">
        <v>4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83</v>
      </c>
      <c r="E27" s="36" t="s">
        <v>117</v>
      </c>
      <c r="F27" s="41" t="s">
        <v>151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84</v>
      </c>
      <c r="E28" s="35" t="s">
        <v>118</v>
      </c>
      <c r="F28" s="38" t="s">
        <v>152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85</v>
      </c>
      <c r="E29" s="36" t="s">
        <v>119</v>
      </c>
      <c r="F29" s="41" t="s">
        <v>153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82</v>
      </c>
      <c r="E30" s="35" t="s">
        <v>116</v>
      </c>
      <c r="F30" s="38" t="s">
        <v>154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120</v>
      </c>
      <c r="F31" s="41" t="s">
        <v>155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121</v>
      </c>
      <c r="F32" s="38" t="s">
        <v>156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88</v>
      </c>
      <c r="E33" s="36" t="s">
        <v>122</v>
      </c>
      <c r="F33" s="41" t="s">
        <v>157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89</v>
      </c>
      <c r="E34" s="35" t="s">
        <v>123</v>
      </c>
      <c r="F34" s="38" t="s">
        <v>158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90</v>
      </c>
      <c r="E35" s="36" t="s">
        <v>124</v>
      </c>
      <c r="F35" s="41" t="s">
        <v>159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91</v>
      </c>
      <c r="E36" s="35" t="s">
        <v>125</v>
      </c>
      <c r="F36" s="38" t="s">
        <v>160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92</v>
      </c>
      <c r="E37" s="36" t="s">
        <v>126</v>
      </c>
      <c r="F37" s="41" t="s">
        <v>161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93</v>
      </c>
      <c r="E38" s="35" t="s">
        <v>127</v>
      </c>
      <c r="F38" s="38" t="s">
        <v>161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85</v>
      </c>
      <c r="E39" s="36" t="s">
        <v>128</v>
      </c>
      <c r="F39" s="41" t="s">
        <v>161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83</v>
      </c>
      <c r="E40" s="35" t="s">
        <v>129</v>
      </c>
      <c r="F40" s="38" t="s">
        <v>161</v>
      </c>
      <c r="G40" s="39">
        <v>4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94</v>
      </c>
      <c r="E41" s="36" t="s">
        <v>130</v>
      </c>
      <c r="F41" s="41" t="s">
        <v>94</v>
      </c>
      <c r="G41" s="42">
        <v>4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95</v>
      </c>
      <c r="E42" s="35" t="s">
        <v>131</v>
      </c>
      <c r="F42" s="38" t="s">
        <v>162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96</v>
      </c>
      <c r="E43" s="36" t="s">
        <v>132</v>
      </c>
      <c r="F43" s="41" t="s">
        <v>163</v>
      </c>
      <c r="G43" s="42">
        <v>1</v>
      </c>
    </row>
    <row r="44" spans="1:7" ht="13.8" x14ac:dyDescent="0.25">
      <c r="A44" s="14"/>
      <c r="B44" s="34" t="s">
        <v>18</v>
      </c>
      <c r="C44" s="30"/>
      <c r="D44" s="30"/>
      <c r="E44" s="30"/>
      <c r="F44" s="30"/>
      <c r="G44" s="59" t="s">
        <v>26</v>
      </c>
    </row>
    <row r="45" spans="1:7" ht="13.8" x14ac:dyDescent="0.25">
      <c r="A45" s="14"/>
      <c r="B45" s="29"/>
      <c r="C45" s="31"/>
      <c r="D45" s="31"/>
      <c r="E45" s="31"/>
      <c r="F45" s="31"/>
      <c r="G45" s="6"/>
    </row>
    <row r="46" spans="1:7" ht="13.8" x14ac:dyDescent="0.25">
      <c r="A46" s="14"/>
      <c r="B46" s="29"/>
      <c r="C46" s="31"/>
      <c r="D46" s="31"/>
      <c r="E46" s="31"/>
      <c r="F46" s="31"/>
      <c r="G46" s="7"/>
    </row>
    <row r="47" spans="1:7" ht="14.4" thickBot="1" x14ac:dyDescent="0.3">
      <c r="A47" s="21"/>
      <c r="B47" s="32"/>
      <c r="C47" s="33"/>
      <c r="D47" s="33"/>
      <c r="E47" s="33"/>
      <c r="F47" s="33"/>
      <c r="G47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165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165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166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167</v>
      </c>
    </row>
    <row r="11" spans="1:2" x14ac:dyDescent="0.25">
      <c r="A11" s="2" t="s">
        <v>10</v>
      </c>
      <c r="B11" s="62" t="s">
        <v>168</v>
      </c>
    </row>
    <row r="12" spans="1:2" x14ac:dyDescent="0.25">
      <c r="A12" s="1" t="s">
        <v>11</v>
      </c>
      <c r="B12" s="61" t="s">
        <v>169</v>
      </c>
    </row>
    <row r="13" spans="1:2" x14ac:dyDescent="0.25">
      <c r="A13" s="2" t="s">
        <v>12</v>
      </c>
      <c r="B13" s="62" t="s">
        <v>170</v>
      </c>
    </row>
    <row r="14" spans="1:2" x14ac:dyDescent="0.25">
      <c r="A14" s="1" t="s">
        <v>13</v>
      </c>
      <c r="B14" s="61" t="s">
        <v>171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2026-06-04T19:25:10Z</dcterms:modified>
</cp:coreProperties>
</file>