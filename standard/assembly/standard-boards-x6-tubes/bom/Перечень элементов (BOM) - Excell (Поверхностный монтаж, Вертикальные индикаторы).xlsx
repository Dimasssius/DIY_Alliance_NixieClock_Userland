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masssius\Documents\Altium Designer\Documents\Nixie Clock Avito x6\BOM\"/>
    </mc:Choice>
  </mc:AlternateContent>
  <xr:revisionPtr revIDLastSave="0" documentId="8_{7B2AEAC2-B6B7-4DD3-9269-87418B25C4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 List Report" sheetId="3" r:id="rId1"/>
    <sheet name="Project Information" sheetId="4" r:id="rId2"/>
  </sheets>
  <definedNames>
    <definedName name="_xlnm.Print_Area" localSheetId="0">'Part List Report'!$A$1:$G$51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7" i="3" l="1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</calcChain>
</file>

<file path=xl/sharedStrings.xml><?xml version="1.0" encoding="utf-8"?>
<sst xmlns="http://schemas.openxmlformats.org/spreadsheetml/2006/main" count="206" uniqueCount="184">
  <si>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</si>
  <si>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</si>
  <si>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</si>
  <si>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</si>
  <si>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</si>
  <si>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</si>
  <si>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</si>
  <si>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</si>
  <si>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</si>
  <si>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</si>
  <si>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</si>
  <si>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</si>
  <si>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</si>
  <si>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</si>
  <si>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Project:</t>
  </si>
  <si>
    <t>Variant:</t>
  </si>
  <si>
    <t>Report Date:</t>
  </si>
  <si>
    <t>Component list</t>
  </si>
  <si>
    <t>Notes</t>
  </si>
  <si>
    <t>#</t>
  </si>
  <si>
    <t>Author:</t>
  </si>
  <si>
    <t>Dimasssius</t>
  </si>
  <si>
    <t>Перечень элементов (BOM) - Excell (Поверхностный монтаж, Вертикальные индикаторы) for Variant [SMD Variation - Vertical Tubes] of Project [Nixie Clock Avito x6.PrjPcb] (No PCB Document Selected)</t>
  </si>
  <si>
    <t>Nixie Clock Avito x6.PrjPcb</t>
  </si>
  <si>
    <t>SMD Variation - Vertical Tubes</t>
  </si>
  <si>
    <t>04.06.2026</t>
  </si>
  <si>
    <t>68</t>
  </si>
  <si>
    <t>Designator</t>
  </si>
  <si>
    <t>B1</t>
  </si>
  <si>
    <t>C1</t>
  </si>
  <si>
    <t>C2</t>
  </si>
  <si>
    <t>C3</t>
  </si>
  <si>
    <t>C4, C5, C6, C7, C8, C9</t>
  </si>
  <si>
    <t>C10, C11</t>
  </si>
  <si>
    <t>D1</t>
  </si>
  <si>
    <t>D2</t>
  </si>
  <si>
    <t>D3, D4</t>
  </si>
  <si>
    <t>IC1</t>
  </si>
  <si>
    <t>IC2, IC3, IC4, IC5, IC6, IC7, IC8</t>
  </si>
  <si>
    <t>IC10</t>
  </si>
  <si>
    <t>IC11</t>
  </si>
  <si>
    <t>IC12</t>
  </si>
  <si>
    <t>IC13</t>
  </si>
  <si>
    <t>J1, J2</t>
  </si>
  <si>
    <t>J3, J4</t>
  </si>
  <si>
    <t>J8</t>
  </si>
  <si>
    <t>L1</t>
  </si>
  <si>
    <t>LS1</t>
  </si>
  <si>
    <t>Q1</t>
  </si>
  <si>
    <t>Q2</t>
  </si>
  <si>
    <t>R1, R2, R6, R8, R14</t>
  </si>
  <si>
    <t>R3</t>
  </si>
  <si>
    <t>R4</t>
  </si>
  <si>
    <t>R5, R10</t>
  </si>
  <si>
    <t>R7</t>
  </si>
  <si>
    <t>R11</t>
  </si>
  <si>
    <t>R12</t>
  </si>
  <si>
    <t>R13</t>
  </si>
  <si>
    <t>R15</t>
  </si>
  <si>
    <t>R16, R23</t>
  </si>
  <si>
    <t>R17, R18</t>
  </si>
  <si>
    <t>R19, R20, R21, R22</t>
  </si>
  <si>
    <t>R24</t>
  </si>
  <si>
    <t>R?</t>
  </si>
  <si>
    <t>S1, S5, S9, S13</t>
  </si>
  <si>
    <t>S17</t>
  </si>
  <si>
    <t>U1</t>
  </si>
  <si>
    <t>Y1</t>
  </si>
  <si>
    <t>Comment</t>
  </si>
  <si>
    <t>CR1025</t>
  </si>
  <si>
    <t>1uF</t>
  </si>
  <si>
    <t>0.1uF</t>
  </si>
  <si>
    <t>100uF</t>
  </si>
  <si>
    <t>22pF</t>
  </si>
  <si>
    <t>ES2J</t>
  </si>
  <si>
    <t>SS12</t>
  </si>
  <si>
    <t>LED0603</t>
  </si>
  <si>
    <t>K155ID1</t>
  </si>
  <si>
    <t>TLP291</t>
  </si>
  <si>
    <t>DS3231SN</t>
  </si>
  <si>
    <t>DHT11</t>
  </si>
  <si>
    <t>DS18B20+</t>
  </si>
  <si>
    <t>ATMEGA328P-AU</t>
  </si>
  <si>
    <t>Female Header 1x10-Pin</t>
  </si>
  <si>
    <t>Female Header 1x3-Pin</t>
  </si>
  <si>
    <t>TYPE-C 16PIN 2MD(073)</t>
  </si>
  <si>
    <t>XR6*8-151K-L</t>
  </si>
  <si>
    <t>CMI-9605-0580T</t>
  </si>
  <si>
    <t>STD20NF20</t>
  </si>
  <si>
    <t>MPSA42</t>
  </si>
  <si>
    <t>10kΩ</t>
  </si>
  <si>
    <t>1kΩ</t>
  </si>
  <si>
    <t>680kΩ</t>
  </si>
  <si>
    <t>100Ω</t>
  </si>
  <si>
    <t>470Ω</t>
  </si>
  <si>
    <t>3kΩ</t>
  </si>
  <si>
    <t>33kΩ</t>
  </si>
  <si>
    <t>56kΩ</t>
  </si>
  <si>
    <t>200Ω</t>
  </si>
  <si>
    <t>4.7kΩ</t>
  </si>
  <si>
    <t>5.1kΩ</t>
  </si>
  <si>
    <t>TS-1009B</t>
  </si>
  <si>
    <t>BME280</t>
  </si>
  <si>
    <t>CH340C</t>
  </si>
  <si>
    <t>X322516MLB4SI</t>
  </si>
  <si>
    <t>Description</t>
  </si>
  <si>
    <t>Battery Clip Coin, SMD, CR1025, Cell</t>
  </si>
  <si>
    <t>Capacitor, Ceramic (MLCC), SMD, 1uF, 250V, ±10%, X7R, Multilayer Ceramic Capacitors MLCC - SMD/SMT, ROHS</t>
  </si>
  <si>
    <t>Capacitor, Ceramic (MLCC), SMD, 100nF, 6.3V, ±10%, X7R, Multilayer Ceramic Capacitors MLCC - SMD/SMT, ROHS</t>
  </si>
  <si>
    <t>Capacitor, Aluminum Electrolytic Capacitor, SMD, D5xL5.4mm, 100uF, 6.3V, ±20%, Aluminum Electrolytic Capacitors - SMD, ROHS</t>
  </si>
  <si>
    <t>Capacitor, Ceramic (MLCC), SMD, 22pF, 50V, ±5%, C0G, Multilayer Ceramic Capacitors MLCC - SMD/SMT, ROHS</t>
  </si>
  <si>
    <t>Diode, SMD, SMA(DO-214AC), 600V, 2A, 35ns, 1.7V@2A, Fast Recovery / High Efficiency Diodes, ROHS</t>
  </si>
  <si>
    <t>Diode Schottky, SMD, SMA(DO-214AC), 20V, 1A,  500mV@1A, Schottky Diodes, ROHS</t>
  </si>
  <si>
    <t>LED Indication - Discrete, 0603, 20mA, 225mcd, Colorless Transparent Lens, -20℃~+85℃, Positive Stick, 620nm~630nm, Red, 120°, 50mW, 2.3V, LED Indication - Discrete, ROHS</t>
  </si>
  <si>
    <t>Decoder, DIP-16, 5V±5%, 25mA, 150ns, High Voltage Output, BCD to Decimal Decoders, RoHS</t>
  </si>
  <si>
    <t>Photovoltaic Output Optoisolator, SOP-4-1.27mm, 80V, 3.75kV, 50mA, 300mV@2.4mA, 8mA, 1, 5V, 1.25V, DC  Transistor, Photovoltaic Output Optoisolators, ROHS</t>
  </si>
  <si>
    <t>Real Time Clock, SOIC-16-300mil, I2C, Real Time Clocks, ROHS</t>
  </si>
  <si>
    <t>Temperature and Humidity Sensor, SIP-4, ROHS</t>
  </si>
  <si>
    <t>Temperature Sensor, THD, TO-92, 3V~5.5V, -55℃~+125℃, ±0.5, Single Bus, RoHS</t>
  </si>
  <si>
    <t>Microcontroller, TQFP-32(7x7), AVR, 20MHz, Microcontrollers (MCU/MPU/SOC), ROHS</t>
  </si>
  <si>
    <t>Female Header, 1x10-Pin, 10P, P=2.54mm, Direct Insert, H:8.5mm, W:2.54mm, D:3.2mm, Single Row, Black Brass, Top Square, Hole Plugin, 3A, 20mΩ, 1000V, -40℃~+105℃, Female Headers, ROHS</t>
  </si>
  <si>
    <t>Female Header, 1x3-Pin, 3P, P=2.54mm, Direct Insert, H:8.5mm, W:2.54mm, D:3.2mm, Single Row, Black Brass, Top Square, Hole Plugin, 3A, 20mΩ, 1000V, -40℃~+105℃, Female Headers, ROHS</t>
  </si>
  <si>
    <t>USB Connector, 5A, USB 3.1, Horizontal Attachment, 16P, Female, -25℃~+85℃, Type-C, SMD, USB Connectors, ROHS</t>
  </si>
  <si>
    <t>Fixed Inductor, Through Hole, D6xL8mm, 150uH, ±10%, 500mA, 780mΩ,  Drum-core Inductor, Fixed Inductors, RoHS</t>
  </si>
  <si>
    <t>Buzzer, D=9.6mm, 80dB, Active (Built-in Driver Circuit, Electromagnetic Type, 2.7kHz, Plugin, Buzzers, ROHS</t>
  </si>
  <si>
    <t>MOSFET (N-Channel), DPAK, 200V, 18A, 30W, 125mΩ@10V, 1 N-Channel, Single FETs, MOSFETs, RoHS</t>
  </si>
  <si>
    <t>Transistor Bipolar (BJT), NPN, TO-92-3, 300V, 625mW, 25@1.0mA, 10V, 500mA, Bipolar (BJT), ROHS</t>
  </si>
  <si>
    <t>Resistor, Thick Film Resistor, SMD, 10kΩ, ±5%, Chip Resistor - Surface Mount, ROHS</t>
  </si>
  <si>
    <t>Resistor, Thick Film Resistor, SMD, 1kΩ, ±5%, Chip Resistor - Surface Mount, ROHS</t>
  </si>
  <si>
    <t>Resistor, Thick Film Resistor, SMD, 680kΩ, ±5%, Chip Resistor - Surface Mount, ROHS</t>
  </si>
  <si>
    <t>Resistor, Thick Film Resistor, SMD, 100Ω, ±5%, Chip Resistor - Surface Mount, ROHS</t>
  </si>
  <si>
    <t>Resistor, Thick Film Resistor, SMD, 470Ω, ±5%, Chip Resistor - Surface Mount, ROHS</t>
  </si>
  <si>
    <t>Resistor, Thick Film Resistor, SMD, 3kΩ, ±5%, Chip Resistor - Surface Mount, ROHS</t>
  </si>
  <si>
    <t>Resistor, Thick Film Resistor, SMD, 33kΩ, ±5%, Chip Resistor - Surface Mount, ROHS</t>
  </si>
  <si>
    <t>Resistor, Thick Film Resistor, SMD, 56kΩ, ±5%, Chip Resistor - Surface Mount, ROHS</t>
  </si>
  <si>
    <t>Resistor, Thick Film Resistor, SMD, 200Ω, ±5%, Chip Resistor - Surface Mount, ROHS</t>
  </si>
  <si>
    <t>Resistor, Thick Film Resistor, SMD, 4.7kΩ, ±5%, Chip Resistor - Surface Mount, ROHS</t>
  </si>
  <si>
    <t>Resistor, Thick Film Resistor, SMD, 5.1kΩ, ±5%, Chip Resistor - Surface Mount, ROHS</t>
  </si>
  <si>
    <t>Switch Tactile, Through Hole, 4.5x4.5mm, Round Button, 50mA, Bend-in 4.5mm, SPST, 12V, Plugin, Tactile Switches, ROHS</t>
  </si>
  <si>
    <t>Development Board, LGA-8(2.5x2.5), Temperature and Humidity Sensor, ROHS</t>
  </si>
  <si>
    <t>USB Converter, SOP-16, 2Mbps Transceiver, USB 2.0, USB Converters,  ROHS</t>
  </si>
  <si>
    <t>Crystal Oscillator, SMD, 3225(3.2x2.5), 9pF, Crystals ROHS</t>
  </si>
  <si>
    <t>Footprint</t>
  </si>
  <si>
    <t>CAP_THD_ELEC_ALUM_D8.0MM_H12.5MM_SHORT _SMD_C1828_#2_SMD</t>
  </si>
  <si>
    <t>CAP_SMD_MLCC_C0603_(M1608)_C0402A_(M1005A)_THD/SMD_SMD</t>
  </si>
  <si>
    <t>CAP_THD_ELEC_ALUM_D4.0MM_H7.0MM_THD/SMD_SMD</t>
  </si>
  <si>
    <t>CAP_SMD_MLCC_C0603_(M1608)_C0402A_(M1005A)</t>
  </si>
  <si>
    <t>DO-41/DO-214AC_THD/SMD_SMD</t>
  </si>
  <si>
    <t>DO-41/DO-214AC_VERTICAL_SMD/THD_SMD</t>
  </si>
  <si>
    <t>LED 0603_(1608)_0402A_(1005)</t>
  </si>
  <si>
    <t>DIP16</t>
  </si>
  <si>
    <t>SOIC127P700X230-4N</t>
  </si>
  <si>
    <t>SOIC127P1032X265-16N</t>
  </si>
  <si>
    <t>DHT11 - SMD</t>
  </si>
  <si>
    <t>TO-92</t>
  </si>
  <si>
    <t>QFP80P900X900X120-32N WITH SPI INTERFACE 2.54</t>
  </si>
  <si>
    <t>HEADER_FEMALE_10PIN</t>
  </si>
  <si>
    <t>HEADER_FEMALE_3PIN</t>
  </si>
  <si>
    <t>USB_C_DOUBLE_V/H_HORIZONTAL</t>
  </si>
  <si>
    <t>XR6*8-151K-L_CDRH74N_THD</t>
  </si>
  <si>
    <t>CMI96050580T</t>
  </si>
  <si>
    <t>TO-220/DPAK_THD/SMD_SMD_#2</t>
  </si>
  <si>
    <t>RES_THD/SMD_R0603_R0402_10K_SMD</t>
  </si>
  <si>
    <t>RES_THD/SMD_R0603_R0402_1K_SMD</t>
  </si>
  <si>
    <t>RES_THD/SMD_R0603_R0402_680K_SMD</t>
  </si>
  <si>
    <t>RES_THD/SMD_R0603_R0402_100OHM_SMD</t>
  </si>
  <si>
    <t>RES_THD/SMD_R0603_R0402_470OHM_SMD</t>
  </si>
  <si>
    <t>RES_THD/SMD_R0603_R0402_3K_SMD</t>
  </si>
  <si>
    <t>RES_THD/SMD_R0603_R0402_33K_SMD</t>
  </si>
  <si>
    <t>RES_THD/SMD_R0603_R0402_56K_SMD</t>
  </si>
  <si>
    <t>RES_THD/SMD_R0603_R0402_200OHM_SMD</t>
  </si>
  <si>
    <t>RES_THD/SMD_R0603_R0402_4.7K_SMD</t>
  </si>
  <si>
    <t>RES_SMD_R0603_(M1608)_R0402A_(M1005A)</t>
  </si>
  <si>
    <t>BME280_DEVBOARD</t>
  </si>
  <si>
    <t>SOIC127P600X180-16N</t>
  </si>
  <si>
    <t>XTL_4_3225</t>
  </si>
  <si>
    <t>Quantity</t>
  </si>
  <si>
    <t>C:\Users\Dimasssius\Documents\Altium Designer\Projects\Nixie Clock\Avito Projects\Nixie Clock Avito x6\Nixie Clock Avito x6.PrjPcb</t>
  </si>
  <si>
    <t>22:49</t>
  </si>
  <si>
    <t>04.06.2026 22:49</t>
  </si>
  <si>
    <t>Перечень элементов (BOM) - Excell (Поверхностный монтаж, Вертикальные индикаторы)</t>
  </si>
  <si>
    <t>BomReport</t>
  </si>
  <si>
    <t>BOM</t>
  </si>
  <si>
    <t>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</si>
</sst>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</font>
    <font>
      <b/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10"/>
      <name val="Arial"/>
      <family val="2"/>
      <charset val="204"/>
    </font>
    <font>
      <sz val="11"/>
      <color theme="1"/>
      <name val="Arial"/>
      <family val="2"/>
      <charset val="204"/>
    </font>
    <font>
      <sz val="16"/>
      <color theme="0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10"/>
      <name val="Arial"/>
      <family val="2"/>
      <charset val="204"/>
    </font>
    <font>
      <b/>
      <sz val="11"/>
      <name val="Arial"/>
      <family val="2"/>
      <charset val="204"/>
    </font>
    <font>
      <b/>
      <sz val="20"/>
      <color indexed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63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7" fillId="0" borderId="4" xfId="0" applyNumberFormat="1" applyFont="1" applyFill="1" applyBorder="1" applyAlignment="1" applyProtection="1">
      <alignment vertical="top"/>
      <protection locked="0"/>
    </xf>
    <xf numFmtId="0" fontId="7" fillId="0" borderId="2" xfId="0" applyNumberFormat="1" applyFont="1" applyFill="1" applyBorder="1" applyAlignment="1" applyProtection="1">
      <alignment vertical="top"/>
      <protection locked="0"/>
    </xf>
    <xf numFmtId="0" fontId="7" fillId="0" borderId="5" xfId="0" applyNumberFormat="1" applyFont="1" applyFill="1" applyBorder="1" applyAlignment="1" applyProtection="1">
      <alignment vertical="top"/>
      <protection locked="0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5" borderId="14" xfId="1" applyFont="1" applyBorder="1" applyAlignment="1"/>
    <xf numFmtId="0" fontId="8" fillId="5" borderId="19" xfId="1" applyFont="1" applyBorder="1" applyAlignment="1">
      <alignment horizontal="center" vertical="center"/>
    </xf>
    <xf numFmtId="0" fontId="8" fillId="5" borderId="19" xfId="1" applyFont="1" applyBorder="1" applyAlignment="1">
      <alignment horizontal="left" vertical="center"/>
    </xf>
    <xf numFmtId="0" fontId="8" fillId="5" borderId="15" xfId="1" applyFont="1" applyBorder="1" applyAlignment="1"/>
    <xf numFmtId="0" fontId="10" fillId="3" borderId="21" xfId="0" applyFont="1" applyFill="1" applyBorder="1" applyAlignment="1">
      <alignment horizontal="left" vertical="center"/>
    </xf>
    <xf numFmtId="0" fontId="10" fillId="3" borderId="20" xfId="0" applyFont="1" applyFill="1" applyBorder="1" applyAlignment="1"/>
    <xf numFmtId="0" fontId="10" fillId="3" borderId="10" xfId="0" applyFont="1" applyFill="1" applyBorder="1" applyAlignment="1">
      <alignment horizontal="left" vertical="center"/>
    </xf>
    <xf numFmtId="0" fontId="10" fillId="3" borderId="22" xfId="0" applyFont="1" applyFill="1" applyBorder="1" applyAlignment="1"/>
    <xf numFmtId="0" fontId="11" fillId="6" borderId="8" xfId="2" applyFont="1" applyBorder="1" applyAlignment="1">
      <alignment horizontal="center" vertical="center" wrapText="1"/>
    </xf>
    <xf numFmtId="0" fontId="11" fillId="7" borderId="8" xfId="3" applyFont="1" applyBorder="1" applyAlignment="1">
      <alignment horizontal="center" vertical="center" wrapText="1"/>
    </xf>
    <xf numFmtId="0" fontId="8" fillId="5" borderId="16" xfId="1" applyFont="1" applyBorder="1" applyAlignment="1"/>
    <xf numFmtId="0" fontId="10" fillId="3" borderId="1" xfId="0" applyFont="1" applyFill="1" applyBorder="1" applyAlignment="1">
      <alignment horizontal="left" vertical="center"/>
    </xf>
    <xf numFmtId="0" fontId="9" fillId="3" borderId="4" xfId="0" applyFont="1" applyFill="1" applyBorder="1" applyAlignment="1"/>
    <xf numFmtId="0" fontId="8" fillId="5" borderId="17" xfId="1" applyFont="1" applyBorder="1" applyAlignment="1">
      <alignment horizontal="center" vertical="center"/>
    </xf>
    <xf numFmtId="0" fontId="8" fillId="5" borderId="18" xfId="1" applyFont="1" applyBorder="1" applyAlignment="1">
      <alignment horizontal="center" vertical="center"/>
    </xf>
    <xf numFmtId="0" fontId="8" fillId="5" borderId="24" xfId="1" applyFont="1" applyBorder="1" applyAlignment="1">
      <alignment horizontal="center" vertical="center"/>
    </xf>
    <xf numFmtId="0" fontId="13" fillId="3" borderId="9" xfId="0" applyFont="1" applyFill="1" applyBorder="1" applyAlignment="1">
      <alignment horizontal="left" vertical="center" indent="1"/>
    </xf>
    <xf numFmtId="0" fontId="14" fillId="3" borderId="10" xfId="0" applyFont="1" applyFill="1" applyBorder="1" applyAlignment="1">
      <alignment horizontal="left" vertical="center" indent="1"/>
    </xf>
    <xf numFmtId="0" fontId="5" fillId="0" borderId="6" xfId="0" applyNumberFormat="1" applyFont="1" applyFill="1" applyBorder="1" applyAlignment="1" applyProtection="1">
      <alignment vertical="top"/>
      <protection locked="0"/>
    </xf>
    <xf numFmtId="0" fontId="5" fillId="0" borderId="1" xfId="0" applyNumberFormat="1" applyFont="1" applyFill="1" applyBorder="1" applyAlignment="1" applyProtection="1">
      <alignment vertical="top"/>
      <protection locked="0"/>
    </xf>
    <xf numFmtId="0" fontId="5" fillId="0" borderId="0" xfId="0" applyNumberFormat="1" applyFont="1" applyFill="1" applyBorder="1" applyAlignment="1" applyProtection="1">
      <alignment vertical="top"/>
      <protection locked="0"/>
    </xf>
    <xf numFmtId="0" fontId="5" fillId="0" borderId="12" xfId="0" applyNumberFormat="1" applyFont="1" applyFill="1" applyBorder="1" applyAlignment="1" applyProtection="1">
      <alignment vertical="top"/>
      <protection locked="0"/>
    </xf>
    <xf numFmtId="0" fontId="5" fillId="0" borderId="3" xfId="0" applyNumberFormat="1" applyFont="1" applyFill="1" applyBorder="1" applyAlignment="1" applyProtection="1">
      <alignment vertical="top"/>
      <protection locked="0"/>
    </xf>
    <xf numFmtId="0" fontId="15" fillId="0" borderId="6" xfId="0" applyNumberFormat="1" applyFont="1" applyFill="1" applyBorder="1" applyAlignment="1" applyProtection="1">
      <alignment vertical="top"/>
      <protection locked="0"/>
    </xf>
    <xf numFmtId="0" fontId="11" fillId="6" borderId="8" xfId="2" applyFont="1" applyBorder="1" applyAlignment="1">
      <alignment horizontal="left" vertical="center" wrapText="1"/>
    </xf>
    <xf numFmtId="0" fontId="11" fillId="7" borderId="8" xfId="3" applyFont="1" applyBorder="1" applyAlignment="1">
      <alignment horizontal="left" vertical="center" wrapText="1"/>
    </xf>
    <xf numFmtId="0" fontId="11" fillId="6" borderId="23" xfId="2" applyFont="1" applyBorder="1" applyAlignment="1">
      <alignment horizontal="center" vertical="center"/>
    </xf>
    <xf numFmtId="0" fontId="11" fillId="6" borderId="8" xfId="2" applyFont="1" applyBorder="1" applyAlignment="1">
      <alignment horizontal="left" vertical="center"/>
    </xf>
    <xf numFmtId="0" fontId="11" fillId="6" borderId="7" xfId="2" applyFont="1" applyBorder="1" applyAlignment="1">
      <alignment horizontal="center" vertical="center"/>
    </xf>
    <xf numFmtId="0" fontId="11" fillId="7" borderId="23" xfId="3" applyFont="1" applyBorder="1" applyAlignment="1">
      <alignment horizontal="center" vertical="center"/>
    </xf>
    <xf numFmtId="0" fontId="11" fillId="7" borderId="8" xfId="3" applyFont="1" applyBorder="1" applyAlignment="1">
      <alignment horizontal="left" vertical="center"/>
    </xf>
    <xf numFmtId="0" fontId="11" fillId="7" borderId="7" xfId="3" applyFont="1" applyBorder="1" applyAlignment="1">
      <alignment horizontal="center" vertical="center"/>
    </xf>
    <xf numFmtId="0" fontId="13" fillId="3" borderId="21" xfId="0" applyFont="1" applyFill="1" applyBorder="1" applyAlignment="1">
      <alignment horizontal="left" vertical="center" indent="1"/>
    </xf>
    <xf numFmtId="0" fontId="14" fillId="3" borderId="9" xfId="0" applyFont="1" applyFill="1" applyBorder="1" applyAlignment="1">
      <alignment horizontal="left" vertical="center" inden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2" fillId="5" borderId="1" xfId="1" applyFont="1" applyBorder="1" applyAlignment="1">
      <alignment horizontal="left" vertical="center" indent="1"/>
    </xf>
    <xf numFmtId="0" fontId="12" fillId="5" borderId="4" xfId="1" applyFont="1" applyBorder="1" applyAlignment="1">
      <alignment horizontal="left" vertical="center" indent="1"/>
    </xf>
    <xf numFmtId="0" fontId="12" fillId="5" borderId="3" xfId="1" applyFont="1" applyBorder="1" applyAlignment="1">
      <alignment horizontal="left" vertical="center" indent="1"/>
    </xf>
    <xf numFmtId="0" fontId="12" fillId="5" borderId="5" xfId="1" applyFont="1" applyBorder="1" applyAlignment="1">
      <alignment horizontal="left" vertical="center" indent="1"/>
    </xf>
    <xf numFmtId="0" fontId="12" fillId="5" borderId="1" xfId="1" quotePrefix="1" applyFont="1" applyBorder="1" applyAlignment="1">
      <alignment horizontal="left" vertical="center" indent="1"/>
    </xf>
    <xf numFmtId="0" fontId="13" fillId="3" borderId="9" xfId="0" quotePrefix="1" applyFont="1" applyFill="1" applyBorder="1" applyAlignment="1">
      <alignment horizontal="left" vertical="center" indent="1"/>
    </xf>
    <xf numFmtId="0" fontId="13" fillId="3" borderId="10" xfId="0" quotePrefix="1" applyFont="1" applyFill="1" applyBorder="1" applyAlignment="1">
      <alignment horizontal="left" vertical="center" indent="1"/>
    </xf>
    <xf numFmtId="0" fontId="14" fillId="3" borderId="10" xfId="0" quotePrefix="1" applyFont="1" applyFill="1" applyBorder="1" applyAlignment="1">
      <alignment horizontal="left" vertical="center" indent="1"/>
    </xf>
    <xf numFmtId="0" fontId="13" fillId="3" borderId="13" xfId="0" quotePrefix="1" applyFont="1" applyFill="1" applyBorder="1" applyAlignment="1">
      <alignment horizontal="center" vertical="center"/>
    </xf>
    <xf numFmtId="0" fontId="3" fillId="4" borderId="11" xfId="0" quotePrefix="1" applyFont="1" applyFill="1" applyBorder="1" applyAlignment="1">
      <alignment horizontal="left" vertical="center"/>
    </xf>
    <xf numFmtId="0" fontId="3" fillId="2" borderId="0" xfId="0" quotePrefix="1" applyFont="1" applyFill="1" applyBorder="1" applyAlignment="1">
      <alignment horizontal="left" vertical="center"/>
    </xf>
    <xf numFmtId="0" fontId="3" fillId="4" borderId="0" xfId="0" quotePrefix="1" applyFont="1" applyFill="1" applyBorder="1" applyAlignment="1">
      <alignment horizontal="left" vertical="center"/>
    </xf>
  </cellXfs>
  <cellStyles count="4">
    <cellStyle name="20% — акцент5" xfId="2" builtinId="46"/>
    <cellStyle name="40% — акцент5" xfId="3" builtinId="47"/>
    <cellStyle name="Акцент5" xfId="1" builtinId="45"/>
    <cellStyle name="Обычный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AE8AA"/>
      <color rgb="FFB2DE82"/>
      <color rgb="FFB0DD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01BD0C-325A-47C1-9C1A-D919D1A96254}" name="Таблица1" displayName="Таблица1" ref="B7:G47" totalsRowShown="0" headerRowDxfId="10" dataDxfId="8" headerRowBorderDxfId="9" tableBorderDxfId="7" totalsRowBorderDxfId="6" headerRowCellStyle="Акцент5" dataCellStyle="40% — акцент5">
  <autoFilter ref="B7:G47" xr:uid="{8E01BD0C-325A-47C1-9C1A-D919D1A96254}"/>
  <tableColumns count="6">
    <tableColumn id="1" xr3:uid="{DD21DD53-2FE7-40F6-B872-5CC2C9C166A1}" name="#" dataDxfId="5" dataCellStyle="40% — акцент5">
      <calculatedColumnFormula>ROW(B8) - ROW($B$7)</calculatedColumnFormula>
    </tableColumn>
    <tableColumn id="2" xr3:uid="{501FBF0E-C2CE-4D1A-B824-71FBCAB8C180}" name="Designator" dataDxfId="4" dataCellStyle="40% — акцент5"/>
    <tableColumn id="3" xr3:uid="{BCC0AC3A-054E-4014-B86E-FCCC93886944}" name="Comment" dataDxfId="3" dataCellStyle="40% — акцент5"/>
    <tableColumn id="4" xr3:uid="{BD1E7C6C-2336-4249-8B65-25DF6FD4DC00}" name="Description" dataDxfId="2" dataCellStyle="40% — акцент5"/>
    <tableColumn id="5" xr3:uid="{46955099-A58C-4DF2-9A75-E412279655A3}" name="Footprint" dataDxfId="1" dataCellStyle="40% — акцент5"/>
    <tableColumn id="6" xr3:uid="{1E09611E-CEE8-4ABE-A68A-873FC39AF914}" name="Quantity" dataDxfId="0" dataCellStyle="40% — акцент5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51"/>
  <sheetViews>
    <sheetView showGridLines="0" tabSelected="1" zoomScale="85" zoomScaleNormal="85" workbookViewId="0">
      <selection activeCell="H10" sqref="H10"/>
    </sheetView>
  </sheetViews>
  <sheetFormatPr defaultColWidth="9.109375" defaultRowHeight="13.2" x14ac:dyDescent="0.25"/>
  <cols>
    <col min="1" max="1" width="3.33203125" style="4" customWidth="1"/>
    <col min="2" max="2" width="4.44140625" style="9" customWidth="1"/>
    <col min="3" max="3" width="35.88671875" style="10" customWidth="1"/>
    <col min="4" max="4" width="28.6640625" style="9" customWidth="1"/>
    <col min="5" max="5" width="136.33203125" style="10" customWidth="1"/>
    <col min="6" max="6" width="53" style="10" customWidth="1"/>
    <col min="7" max="7" width="17.6640625" style="4" customWidth="1"/>
    <col min="8" max="8" width="10" style="4" customWidth="1"/>
    <col min="9" max="16384" width="9.109375" style="4"/>
  </cols>
  <sheetData>
    <row r="1" spans="1:8" ht="16.5" customHeight="1" thickBot="1" x14ac:dyDescent="0.3">
      <c r="A1" s="11"/>
      <c r="B1" s="12"/>
      <c r="C1" s="13"/>
      <c r="D1" s="55" t="s">
        <v>22</v>
      </c>
      <c r="E1" s="51"/>
      <c r="F1" s="51"/>
      <c r="G1" s="52"/>
      <c r="H1" s="3"/>
    </row>
    <row r="2" spans="1:8" ht="14.25" customHeight="1" thickBot="1" x14ac:dyDescent="0.3">
      <c r="A2" s="14"/>
      <c r="B2" s="45" t="s">
        <v>17</v>
      </c>
      <c r="C2" s="46"/>
      <c r="D2" s="53"/>
      <c r="E2" s="53"/>
      <c r="F2" s="53"/>
      <c r="G2" s="54"/>
    </row>
    <row r="3" spans="1:8" ht="13.8" x14ac:dyDescent="0.25">
      <c r="A3" s="14"/>
      <c r="B3" s="47"/>
      <c r="C3" s="48"/>
      <c r="D3" s="43" t="s">
        <v>14</v>
      </c>
      <c r="E3" s="56" t="s">
        <v>23</v>
      </c>
      <c r="F3" s="15"/>
      <c r="G3" s="16"/>
    </row>
    <row r="4" spans="1:8" ht="13.8" x14ac:dyDescent="0.25">
      <c r="A4" s="14"/>
      <c r="B4" s="47"/>
      <c r="C4" s="48"/>
      <c r="D4" s="27" t="s">
        <v>15</v>
      </c>
      <c r="E4" s="57" t="s">
        <v>24</v>
      </c>
      <c r="F4" s="17"/>
      <c r="G4" s="18"/>
    </row>
    <row r="5" spans="1:8" ht="13.8" x14ac:dyDescent="0.25">
      <c r="A5" s="14"/>
      <c r="B5" s="47"/>
      <c r="C5" s="48"/>
      <c r="D5" s="44" t="s">
        <v>20</v>
      </c>
      <c r="E5" s="28" t="s">
        <v>21</v>
      </c>
      <c r="F5" s="17"/>
      <c r="G5" s="18"/>
    </row>
    <row r="6" spans="1:8" ht="14.4" thickBot="1" x14ac:dyDescent="0.3">
      <c r="A6" s="14"/>
      <c r="B6" s="49"/>
      <c r="C6" s="50"/>
      <c r="D6" s="44" t="s">
        <v>16</v>
      </c>
      <c r="E6" s="58" t="s">
        <v>25</v>
      </c>
      <c r="F6" s="22"/>
      <c r="G6" s="23"/>
    </row>
    <row r="7" spans="1:8" s="5" customFormat="1" ht="13.8" x14ac:dyDescent="0.25">
      <c r="A7" s="14"/>
      <c r="B7" s="24" t="s">
        <v>19</v>
      </c>
      <c r="C7" s="25" t="s">
        <v>27</v>
      </c>
      <c r="D7" s="25" t="s">
        <v>68</v>
      </c>
      <c r="E7" s="25" t="s">
        <v>105</v>
      </c>
      <c r="F7" s="25" t="s">
        <v>142</v>
      </c>
      <c r="G7" s="26" t="s">
        <v>176</v>
      </c>
    </row>
    <row r="8" spans="1:8" ht="13.8" x14ac:dyDescent="0.25">
      <c r="A8" s="14"/>
      <c r="B8" s="37">
        <f>ROW(B8) - ROW($B$7)</f>
        <v>1</v>
      </c>
      <c r="C8" s="35" t="s">
        <v>28</v>
      </c>
      <c r="D8" s="19" t="s">
        <v>69</v>
      </c>
      <c r="E8" s="35" t="s">
        <v>106</v>
      </c>
      <c r="F8" s="38" t="s">
        <v>69</v>
      </c>
      <c r="G8" s="39">
        <v>1</v>
      </c>
    </row>
    <row r="9" spans="1:8" ht="13.8" x14ac:dyDescent="0.25">
      <c r="A9" s="14"/>
      <c r="B9" s="40">
        <f>ROW(B9) - ROW($B$7)</f>
        <v>2</v>
      </c>
      <c r="C9" s="36" t="s">
        <v>29</v>
      </c>
      <c r="D9" s="20" t="s">
        <v>70</v>
      </c>
      <c r="E9" s="36" t="s">
        <v>107</v>
      </c>
      <c r="F9" s="41" t="s">
        <v>143</v>
      </c>
      <c r="G9" s="42">
        <v>1</v>
      </c>
    </row>
    <row r="10" spans="1:8" ht="13.8" x14ac:dyDescent="0.25">
      <c r="A10" s="14"/>
      <c r="B10" s="37">
        <f>ROW(B10) - ROW($B$7)</f>
        <v>3</v>
      </c>
      <c r="C10" s="35" t="s">
        <v>30</v>
      </c>
      <c r="D10" s="19" t="s">
        <v>71</v>
      </c>
      <c r="E10" s="35" t="s">
        <v>108</v>
      </c>
      <c r="F10" s="38" t="s">
        <v>144</v>
      </c>
      <c r="G10" s="39">
        <v>1</v>
      </c>
    </row>
    <row r="11" spans="1:8" ht="13.8" x14ac:dyDescent="0.25">
      <c r="A11" s="14"/>
      <c r="B11" s="40">
        <f>ROW(B11) - ROW($B$7)</f>
        <v>4</v>
      </c>
      <c r="C11" s="36" t="s">
        <v>31</v>
      </c>
      <c r="D11" s="20" t="s">
        <v>72</v>
      </c>
      <c r="E11" s="36" t="s">
        <v>109</v>
      </c>
      <c r="F11" s="41" t="s">
        <v>145</v>
      </c>
      <c r="G11" s="42">
        <v>1</v>
      </c>
    </row>
    <row r="12" spans="1:8" ht="13.8" x14ac:dyDescent="0.25">
      <c r="A12" s="14"/>
      <c r="B12" s="37">
        <f>ROW(B12) - ROW($B$7)</f>
        <v>5</v>
      </c>
      <c r="C12" s="35" t="s">
        <v>32</v>
      </c>
      <c r="D12" s="19" t="s">
        <v>71</v>
      </c>
      <c r="E12" s="35" t="s">
        <v>108</v>
      </c>
      <c r="F12" s="38" t="s">
        <v>146</v>
      </c>
      <c r="G12" s="39">
        <v>6</v>
      </c>
    </row>
    <row r="13" spans="1:8" ht="13.8" x14ac:dyDescent="0.25">
      <c r="A13" s="14"/>
      <c r="B13" s="40">
        <f>ROW(B13) - ROW($B$7)</f>
        <v>6</v>
      </c>
      <c r="C13" s="36" t="s">
        <v>33</v>
      </c>
      <c r="D13" s="20" t="s">
        <v>73</v>
      </c>
      <c r="E13" s="36" t="s">
        <v>110</v>
      </c>
      <c r="F13" s="41" t="s">
        <v>146</v>
      </c>
      <c r="G13" s="42">
        <v>2</v>
      </c>
    </row>
    <row r="14" spans="1:8" ht="13.8" x14ac:dyDescent="0.25">
      <c r="A14" s="14"/>
      <c r="B14" s="37">
        <f>ROW(B14) - ROW($B$7)</f>
        <v>7</v>
      </c>
      <c r="C14" s="35" t="s">
        <v>34</v>
      </c>
      <c r="D14" s="19" t="s">
        <v>74</v>
      </c>
      <c r="E14" s="35" t="s">
        <v>111</v>
      </c>
      <c r="F14" s="38" t="s">
        <v>147</v>
      </c>
      <c r="G14" s="39">
        <v>1</v>
      </c>
    </row>
    <row r="15" spans="1:8" ht="13.8" x14ac:dyDescent="0.25">
      <c r="A15" s="14"/>
      <c r="B15" s="40">
        <f>ROW(B15) - ROW($B$7)</f>
        <v>8</v>
      </c>
      <c r="C15" s="36" t="s">
        <v>35</v>
      </c>
      <c r="D15" s="20" t="s">
        <v>75</v>
      </c>
      <c r="E15" s="36" t="s">
        <v>112</v>
      </c>
      <c r="F15" s="41" t="s">
        <v>148</v>
      </c>
      <c r="G15" s="42">
        <v>1</v>
      </c>
    </row>
    <row r="16" spans="1:8" ht="27.6" x14ac:dyDescent="0.25">
      <c r="A16" s="14"/>
      <c r="B16" s="37">
        <f>ROW(B16) - ROW($B$7)</f>
        <v>9</v>
      </c>
      <c r="C16" s="35" t="s">
        <v>36</v>
      </c>
      <c r="D16" s="19" t="s">
        <v>76</v>
      </c>
      <c r="E16" s="35" t="s">
        <v>113</v>
      </c>
      <c r="F16" s="38" t="s">
        <v>149</v>
      </c>
      <c r="G16" s="39">
        <v>2</v>
      </c>
    </row>
    <row r="17" spans="1:7" ht="13.8" x14ac:dyDescent="0.25">
      <c r="A17" s="14"/>
      <c r="B17" s="40">
        <f>ROW(B17) - ROW($B$7)</f>
        <v>10</v>
      </c>
      <c r="C17" s="36" t="s">
        <v>37</v>
      </c>
      <c r="D17" s="20" t="s">
        <v>77</v>
      </c>
      <c r="E17" s="36" t="s">
        <v>114</v>
      </c>
      <c r="F17" s="41" t="s">
        <v>150</v>
      </c>
      <c r="G17" s="42">
        <v>1</v>
      </c>
    </row>
    <row r="18" spans="1:7" ht="27.6" x14ac:dyDescent="0.25">
      <c r="A18" s="14"/>
      <c r="B18" s="37">
        <f>ROW(B18) - ROW($B$7)</f>
        <v>11</v>
      </c>
      <c r="C18" s="35" t="s">
        <v>38</v>
      </c>
      <c r="D18" s="19" t="s">
        <v>78</v>
      </c>
      <c r="E18" s="35" t="s">
        <v>115</v>
      </c>
      <c r="F18" s="38" t="s">
        <v>151</v>
      </c>
      <c r="G18" s="39">
        <v>7</v>
      </c>
    </row>
    <row r="19" spans="1:7" ht="13.8" x14ac:dyDescent="0.25">
      <c r="A19" s="14"/>
      <c r="B19" s="40">
        <f>ROW(B19) - ROW($B$7)</f>
        <v>12</v>
      </c>
      <c r="C19" s="36" t="s">
        <v>39</v>
      </c>
      <c r="D19" s="20" t="s">
        <v>79</v>
      </c>
      <c r="E19" s="36" t="s">
        <v>116</v>
      </c>
      <c r="F19" s="41" t="s">
        <v>152</v>
      </c>
      <c r="G19" s="42">
        <v>1</v>
      </c>
    </row>
    <row r="20" spans="1:7" ht="13.8" x14ac:dyDescent="0.25">
      <c r="A20" s="14"/>
      <c r="B20" s="37">
        <f>ROW(B20) - ROW($B$7)</f>
        <v>13</v>
      </c>
      <c r="C20" s="35" t="s">
        <v>40</v>
      </c>
      <c r="D20" s="19" t="s">
        <v>80</v>
      </c>
      <c r="E20" s="35" t="s">
        <v>117</v>
      </c>
      <c r="F20" s="38" t="s">
        <v>153</v>
      </c>
      <c r="G20" s="39">
        <v>1</v>
      </c>
    </row>
    <row r="21" spans="1:7" ht="13.8" x14ac:dyDescent="0.25">
      <c r="A21" s="14"/>
      <c r="B21" s="40">
        <f>ROW(B21) - ROW($B$7)</f>
        <v>14</v>
      </c>
      <c r="C21" s="36" t="s">
        <v>41</v>
      </c>
      <c r="D21" s="20" t="s">
        <v>81</v>
      </c>
      <c r="E21" s="36" t="s">
        <v>118</v>
      </c>
      <c r="F21" s="41" t="s">
        <v>154</v>
      </c>
      <c r="G21" s="42">
        <v>1</v>
      </c>
    </row>
    <row r="22" spans="1:7" ht="13.8" x14ac:dyDescent="0.25">
      <c r="A22" s="14"/>
      <c r="B22" s="37">
        <f>ROW(B22) - ROW($B$7)</f>
        <v>15</v>
      </c>
      <c r="C22" s="35" t="s">
        <v>42</v>
      </c>
      <c r="D22" s="19" t="s">
        <v>82</v>
      </c>
      <c r="E22" s="35" t="s">
        <v>119</v>
      </c>
      <c r="F22" s="38" t="s">
        <v>155</v>
      </c>
      <c r="G22" s="39">
        <v>1</v>
      </c>
    </row>
    <row r="23" spans="1:7" ht="27.6" x14ac:dyDescent="0.25">
      <c r="A23" s="14"/>
      <c r="B23" s="40">
        <f>ROW(B23) - ROW($B$7)</f>
        <v>16</v>
      </c>
      <c r="C23" s="36" t="s">
        <v>43</v>
      </c>
      <c r="D23" s="20" t="s">
        <v>83</v>
      </c>
      <c r="E23" s="36" t="s">
        <v>120</v>
      </c>
      <c r="F23" s="41" t="s">
        <v>156</v>
      </c>
      <c r="G23" s="42">
        <v>2</v>
      </c>
    </row>
    <row r="24" spans="1:7" ht="27.6" x14ac:dyDescent="0.25">
      <c r="A24" s="14"/>
      <c r="B24" s="37">
        <f>ROW(B24) - ROW($B$7)</f>
        <v>17</v>
      </c>
      <c r="C24" s="35" t="s">
        <v>44</v>
      </c>
      <c r="D24" s="19" t="s">
        <v>84</v>
      </c>
      <c r="E24" s="35" t="s">
        <v>121</v>
      </c>
      <c r="F24" s="38" t="s">
        <v>157</v>
      </c>
      <c r="G24" s="39">
        <v>2</v>
      </c>
    </row>
    <row r="25" spans="1:7" ht="13.8" x14ac:dyDescent="0.25">
      <c r="A25" s="14"/>
      <c r="B25" s="40">
        <f>ROW(B25) - ROW($B$7)</f>
        <v>18</v>
      </c>
      <c r="C25" s="36" t="s">
        <v>45</v>
      </c>
      <c r="D25" s="20" t="s">
        <v>85</v>
      </c>
      <c r="E25" s="36" t="s">
        <v>122</v>
      </c>
      <c r="F25" s="41" t="s">
        <v>158</v>
      </c>
      <c r="G25" s="42">
        <v>1</v>
      </c>
    </row>
    <row r="26" spans="1:7" ht="13.8" x14ac:dyDescent="0.25">
      <c r="A26" s="14"/>
      <c r="B26" s="37">
        <f>ROW(B26) - ROW($B$7)</f>
        <v>19</v>
      </c>
      <c r="C26" s="35" t="s">
        <v>46</v>
      </c>
      <c r="D26" s="19" t="s">
        <v>86</v>
      </c>
      <c r="E26" s="35" t="s">
        <v>123</v>
      </c>
      <c r="F26" s="38" t="s">
        <v>159</v>
      </c>
      <c r="G26" s="39">
        <v>1</v>
      </c>
    </row>
    <row r="27" spans="1:7" ht="13.8" x14ac:dyDescent="0.25">
      <c r="A27" s="14"/>
      <c r="B27" s="40">
        <f>ROW(B27) - ROW($B$7)</f>
        <v>20</v>
      </c>
      <c r="C27" s="36" t="s">
        <v>47</v>
      </c>
      <c r="D27" s="20" t="s">
        <v>87</v>
      </c>
      <c r="E27" s="36" t="s">
        <v>124</v>
      </c>
      <c r="F27" s="41" t="s">
        <v>160</v>
      </c>
      <c r="G27" s="42">
        <v>1</v>
      </c>
    </row>
    <row r="28" spans="1:7" ht="13.8" x14ac:dyDescent="0.25">
      <c r="A28" s="14"/>
      <c r="B28" s="37">
        <f>ROW(B28) - ROW($B$7)</f>
        <v>21</v>
      </c>
      <c r="C28" s="35" t="s">
        <v>48</v>
      </c>
      <c r="D28" s="19" t="s">
        <v>88</v>
      </c>
      <c r="E28" s="35" t="s">
        <v>125</v>
      </c>
      <c r="F28" s="38" t="s">
        <v>161</v>
      </c>
      <c r="G28" s="39">
        <v>1</v>
      </c>
    </row>
    <row r="29" spans="1:7" ht="13.8" x14ac:dyDescent="0.25">
      <c r="A29" s="14"/>
      <c r="B29" s="40">
        <f>ROW(B29) - ROW($B$7)</f>
        <v>22</v>
      </c>
      <c r="C29" s="36" t="s">
        <v>49</v>
      </c>
      <c r="D29" s="20" t="s">
        <v>89</v>
      </c>
      <c r="E29" s="36" t="s">
        <v>126</v>
      </c>
      <c r="F29" s="41" t="s">
        <v>154</v>
      </c>
      <c r="G29" s="42">
        <v>1</v>
      </c>
    </row>
    <row r="30" spans="1:7" ht="13.8" x14ac:dyDescent="0.25">
      <c r="A30" s="14"/>
      <c r="B30" s="37">
        <f>ROW(B30) - ROW($B$7)</f>
        <v>23</v>
      </c>
      <c r="C30" s="35" t="s">
        <v>50</v>
      </c>
      <c r="D30" s="19" t="s">
        <v>90</v>
      </c>
      <c r="E30" s="35" t="s">
        <v>127</v>
      </c>
      <c r="F30" s="38" t="s">
        <v>162</v>
      </c>
      <c r="G30" s="39">
        <v>5</v>
      </c>
    </row>
    <row r="31" spans="1:7" ht="13.8" x14ac:dyDescent="0.25">
      <c r="A31" s="14"/>
      <c r="B31" s="40">
        <f>ROW(B31) - ROW($B$7)</f>
        <v>24</v>
      </c>
      <c r="C31" s="36" t="s">
        <v>51</v>
      </c>
      <c r="D31" s="20" t="s">
        <v>91</v>
      </c>
      <c r="E31" s="36" t="s">
        <v>128</v>
      </c>
      <c r="F31" s="41" t="s">
        <v>163</v>
      </c>
      <c r="G31" s="42">
        <v>1</v>
      </c>
    </row>
    <row r="32" spans="1:7" ht="13.8" x14ac:dyDescent="0.25">
      <c r="A32" s="14"/>
      <c r="B32" s="37">
        <f>ROW(B32) - ROW($B$7)</f>
        <v>25</v>
      </c>
      <c r="C32" s="35" t="s">
        <v>52</v>
      </c>
      <c r="D32" s="19" t="s">
        <v>92</v>
      </c>
      <c r="E32" s="35" t="s">
        <v>129</v>
      </c>
      <c r="F32" s="38" t="s">
        <v>164</v>
      </c>
      <c r="G32" s="39">
        <v>1</v>
      </c>
    </row>
    <row r="33" spans="1:7" ht="13.8" x14ac:dyDescent="0.25">
      <c r="A33" s="14"/>
      <c r="B33" s="40">
        <f>ROW(B33) - ROW($B$7)</f>
        <v>26</v>
      </c>
      <c r="C33" s="36" t="s">
        <v>53</v>
      </c>
      <c r="D33" s="20" t="s">
        <v>93</v>
      </c>
      <c r="E33" s="36" t="s">
        <v>130</v>
      </c>
      <c r="F33" s="41" t="s">
        <v>165</v>
      </c>
      <c r="G33" s="42">
        <v>2</v>
      </c>
    </row>
    <row r="34" spans="1:7" ht="13.8" x14ac:dyDescent="0.25">
      <c r="A34" s="14"/>
      <c r="B34" s="37">
        <f>ROW(B34) - ROW($B$7)</f>
        <v>27</v>
      </c>
      <c r="C34" s="35" t="s">
        <v>54</v>
      </c>
      <c r="D34" s="19" t="s">
        <v>94</v>
      </c>
      <c r="E34" s="35" t="s">
        <v>131</v>
      </c>
      <c r="F34" s="38" t="s">
        <v>166</v>
      </c>
      <c r="G34" s="39">
        <v>1</v>
      </c>
    </row>
    <row r="35" spans="1:7" ht="13.8" x14ac:dyDescent="0.25">
      <c r="A35" s="14"/>
      <c r="B35" s="40">
        <f>ROW(B35) - ROW($B$7)</f>
        <v>28</v>
      </c>
      <c r="C35" s="36" t="s">
        <v>55</v>
      </c>
      <c r="D35" s="20" t="s">
        <v>95</v>
      </c>
      <c r="E35" s="36" t="s">
        <v>132</v>
      </c>
      <c r="F35" s="41" t="s">
        <v>167</v>
      </c>
      <c r="G35" s="42">
        <v>1</v>
      </c>
    </row>
    <row r="36" spans="1:7" ht="13.8" x14ac:dyDescent="0.25">
      <c r="A36" s="14"/>
      <c r="B36" s="37">
        <f>ROW(B36) - ROW($B$7)</f>
        <v>29</v>
      </c>
      <c r="C36" s="35" t="s">
        <v>56</v>
      </c>
      <c r="D36" s="19" t="s">
        <v>96</v>
      </c>
      <c r="E36" s="35" t="s">
        <v>133</v>
      </c>
      <c r="F36" s="38" t="s">
        <v>168</v>
      </c>
      <c r="G36" s="39">
        <v>1</v>
      </c>
    </row>
    <row r="37" spans="1:7" ht="13.8" x14ac:dyDescent="0.25">
      <c r="A37" s="14"/>
      <c r="B37" s="40">
        <f>ROW(B37) - ROW($B$7)</f>
        <v>30</v>
      </c>
      <c r="C37" s="36" t="s">
        <v>57</v>
      </c>
      <c r="D37" s="20" t="s">
        <v>97</v>
      </c>
      <c r="E37" s="36" t="s">
        <v>134</v>
      </c>
      <c r="F37" s="41" t="s">
        <v>169</v>
      </c>
      <c r="G37" s="42">
        <v>1</v>
      </c>
    </row>
    <row r="38" spans="1:7" ht="13.8" x14ac:dyDescent="0.25">
      <c r="A38" s="14"/>
      <c r="B38" s="37">
        <f>ROW(B38) - ROW($B$7)</f>
        <v>31</v>
      </c>
      <c r="C38" s="35" t="s">
        <v>58</v>
      </c>
      <c r="D38" s="19" t="s">
        <v>98</v>
      </c>
      <c r="E38" s="35" t="s">
        <v>135</v>
      </c>
      <c r="F38" s="38" t="s">
        <v>170</v>
      </c>
      <c r="G38" s="39">
        <v>1</v>
      </c>
    </row>
    <row r="39" spans="1:7" ht="13.8" x14ac:dyDescent="0.25">
      <c r="A39" s="14"/>
      <c r="B39" s="40">
        <f>ROW(B39) - ROW($B$7)</f>
        <v>32</v>
      </c>
      <c r="C39" s="36" t="s">
        <v>59</v>
      </c>
      <c r="D39" s="20" t="s">
        <v>99</v>
      </c>
      <c r="E39" s="36" t="s">
        <v>136</v>
      </c>
      <c r="F39" s="41" t="s">
        <v>171</v>
      </c>
      <c r="G39" s="42">
        <v>2</v>
      </c>
    </row>
    <row r="40" spans="1:7" ht="13.8" x14ac:dyDescent="0.25">
      <c r="A40" s="14"/>
      <c r="B40" s="37">
        <f>ROW(B40) - ROW($B$7)</f>
        <v>33</v>
      </c>
      <c r="C40" s="35" t="s">
        <v>60</v>
      </c>
      <c r="D40" s="19" t="s">
        <v>99</v>
      </c>
      <c r="E40" s="35" t="s">
        <v>136</v>
      </c>
      <c r="F40" s="38" t="s">
        <v>172</v>
      </c>
      <c r="G40" s="39">
        <v>2</v>
      </c>
    </row>
    <row r="41" spans="1:7" ht="13.8" x14ac:dyDescent="0.25">
      <c r="A41" s="14"/>
      <c r="B41" s="40">
        <f>ROW(B41) - ROW($B$7)</f>
        <v>34</v>
      </c>
      <c r="C41" s="36" t="s">
        <v>61</v>
      </c>
      <c r="D41" s="20" t="s">
        <v>91</v>
      </c>
      <c r="E41" s="36" t="s">
        <v>128</v>
      </c>
      <c r="F41" s="41" t="s">
        <v>172</v>
      </c>
      <c r="G41" s="42">
        <v>4</v>
      </c>
    </row>
    <row r="42" spans="1:7" ht="13.8" x14ac:dyDescent="0.25">
      <c r="A42" s="14"/>
      <c r="B42" s="37">
        <f>ROW(B42) - ROW($B$7)</f>
        <v>35</v>
      </c>
      <c r="C42" s="35" t="s">
        <v>62</v>
      </c>
      <c r="D42" s="19" t="s">
        <v>90</v>
      </c>
      <c r="E42" s="35" t="s">
        <v>127</v>
      </c>
      <c r="F42" s="38" t="s">
        <v>172</v>
      </c>
      <c r="G42" s="39">
        <v>1</v>
      </c>
    </row>
    <row r="43" spans="1:7" ht="13.8" x14ac:dyDescent="0.25">
      <c r="A43" s="14"/>
      <c r="B43" s="40">
        <f>ROW(B43) - ROW($B$7)</f>
        <v>36</v>
      </c>
      <c r="C43" s="36" t="s">
        <v>63</v>
      </c>
      <c r="D43" s="20" t="s">
        <v>100</v>
      </c>
      <c r="E43" s="36" t="s">
        <v>137</v>
      </c>
      <c r="F43" s="41" t="s">
        <v>172</v>
      </c>
      <c r="G43" s="42">
        <v>1</v>
      </c>
    </row>
    <row r="44" spans="1:7" ht="13.8" x14ac:dyDescent="0.25">
      <c r="A44" s="14"/>
      <c r="B44" s="37">
        <f>ROW(B44) - ROW($B$7)</f>
        <v>37</v>
      </c>
      <c r="C44" s="35" t="s">
        <v>64</v>
      </c>
      <c r="D44" s="19" t="s">
        <v>101</v>
      </c>
      <c r="E44" s="35" t="s">
        <v>138</v>
      </c>
      <c r="F44" s="38" t="s">
        <v>101</v>
      </c>
      <c r="G44" s="39">
        <v>4</v>
      </c>
    </row>
    <row r="45" spans="1:7" ht="13.8" x14ac:dyDescent="0.25">
      <c r="A45" s="14"/>
      <c r="B45" s="40">
        <f>ROW(B45) - ROW($B$7)</f>
        <v>38</v>
      </c>
      <c r="C45" s="36" t="s">
        <v>65</v>
      </c>
      <c r="D45" s="20" t="s">
        <v>102</v>
      </c>
      <c r="E45" s="36" t="s">
        <v>139</v>
      </c>
      <c r="F45" s="41" t="s">
        <v>173</v>
      </c>
      <c r="G45" s="42">
        <v>1</v>
      </c>
    </row>
    <row r="46" spans="1:7" ht="13.8" x14ac:dyDescent="0.25">
      <c r="A46" s="14"/>
      <c r="B46" s="37">
        <f>ROW(B46) - ROW($B$7)</f>
        <v>39</v>
      </c>
      <c r="C46" s="35" t="s">
        <v>66</v>
      </c>
      <c r="D46" s="19" t="s">
        <v>103</v>
      </c>
      <c r="E46" s="35" t="s">
        <v>140</v>
      </c>
      <c r="F46" s="38" t="s">
        <v>174</v>
      </c>
      <c r="G46" s="39">
        <v>1</v>
      </c>
    </row>
    <row r="47" spans="1:7" ht="13.8" x14ac:dyDescent="0.25">
      <c r="A47" s="14"/>
      <c r="B47" s="40">
        <f>ROW(B47) - ROW($B$7)</f>
        <v>40</v>
      </c>
      <c r="C47" s="36" t="s">
        <v>67</v>
      </c>
      <c r="D47" s="20" t="s">
        <v>104</v>
      </c>
      <c r="E47" s="36" t="s">
        <v>141</v>
      </c>
      <c r="F47" s="41" t="s">
        <v>175</v>
      </c>
      <c r="G47" s="42">
        <v>1</v>
      </c>
    </row>
    <row r="48" spans="1:7" ht="13.8" x14ac:dyDescent="0.25">
      <c r="A48" s="14"/>
      <c r="B48" s="34" t="s">
        <v>18</v>
      </c>
      <c r="C48" s="30"/>
      <c r="D48" s="30"/>
      <c r="E48" s="30"/>
      <c r="F48" s="30"/>
      <c r="G48" s="59" t="s">
        <v>26</v>
      </c>
    </row>
    <row r="49" spans="1:7" ht="13.8" x14ac:dyDescent="0.25">
      <c r="A49" s="14"/>
      <c r="B49" s="29"/>
      <c r="C49" s="31"/>
      <c r="D49" s="31"/>
      <c r="E49" s="31"/>
      <c r="F49" s="31"/>
      <c r="G49" s="6"/>
    </row>
    <row r="50" spans="1:7" ht="13.8" x14ac:dyDescent="0.25">
      <c r="A50" s="14"/>
      <c r="B50" s="29"/>
      <c r="C50" s="31"/>
      <c r="D50" s="31"/>
      <c r="E50" s="31"/>
      <c r="F50" s="31"/>
      <c r="G50" s="7"/>
    </row>
    <row r="51" spans="1:7" ht="14.4" thickBot="1" x14ac:dyDescent="0.3">
      <c r="A51" s="21"/>
      <c r="B51" s="32"/>
      <c r="C51" s="33"/>
      <c r="D51" s="33"/>
      <c r="E51" s="33"/>
      <c r="F51" s="33"/>
      <c r="G51" s="8"/>
    </row>
  </sheetData>
  <mergeCells count="2">
    <mergeCell ref="B2:C6"/>
    <mergeCell ref="D1:G2"/>
  </mergeCells>
  <phoneticPr fontId="0" type="noConversion"/>
  <pageMargins left="0.19685039370078741" right="0.19685039370078741" top="0.19685039370078741" bottom="0.19685039370078741" header="0.19685039370078741" footer="0.19685039370078741"/>
  <pageSetup paperSize="9" scale="52" orientation="landscape" horizontalDpi="200" verticalDpi="200" r:id="rId1"/>
  <headerFooter alignWithMargins="0">
    <oddFooter>&amp;L&amp;BAltium Limited Confidential&amp;B&amp;C&amp;D&amp;RPage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defaultRowHeight="13.2" x14ac:dyDescent="0.25"/>
  <cols>
    <col min="1" max="1" width="28" bestFit="1" customWidth="1"/>
    <col min="2" max="2" width="110.5546875" customWidth="1"/>
  </cols>
  <sheetData>
    <row r="1" spans="1:2" x14ac:dyDescent="0.25">
      <c r="A1" s="2" t="s">
        <v>0</v>
      </c>
      <c r="B1" s="60" t="s">
        <v>177</v>
      </c>
    </row>
    <row r="2" spans="1:2" x14ac:dyDescent="0.25">
      <c r="A2" s="1" t="s">
        <v>1</v>
      </c>
      <c r="B2" s="61" t="s">
        <v>23</v>
      </c>
    </row>
    <row r="3" spans="1:2" x14ac:dyDescent="0.25">
      <c r="A3" s="2" t="s">
        <v>2</v>
      </c>
      <c r="B3" s="62" t="s">
        <v>24</v>
      </c>
    </row>
    <row r="4" spans="1:2" x14ac:dyDescent="0.25">
      <c r="A4" s="1" t="s">
        <v>3</v>
      </c>
      <c r="B4" s="61" t="s">
        <v>23</v>
      </c>
    </row>
    <row r="5" spans="1:2" x14ac:dyDescent="0.25">
      <c r="A5" s="2" t="s">
        <v>4</v>
      </c>
      <c r="B5" s="62" t="s">
        <v>177</v>
      </c>
    </row>
    <row r="6" spans="1:2" x14ac:dyDescent="0.25">
      <c r="A6" s="1" t="s">
        <v>5</v>
      </c>
      <c r="B6" s="61" t="s">
        <v>22</v>
      </c>
    </row>
    <row r="7" spans="1:2" x14ac:dyDescent="0.25">
      <c r="A7" s="2" t="s">
        <v>6</v>
      </c>
      <c r="B7" s="62" t="s">
        <v>26</v>
      </c>
    </row>
    <row r="8" spans="1:2" x14ac:dyDescent="0.25">
      <c r="A8" s="1" t="s">
        <v>7</v>
      </c>
      <c r="B8" s="61" t="s">
        <v>178</v>
      </c>
    </row>
    <row r="9" spans="1:2" x14ac:dyDescent="0.25">
      <c r="A9" s="2" t="s">
        <v>8</v>
      </c>
      <c r="B9" s="62" t="s">
        <v>25</v>
      </c>
    </row>
    <row r="10" spans="1:2" x14ac:dyDescent="0.25">
      <c r="A10" s="1" t="s">
        <v>9</v>
      </c>
      <c r="B10" s="61" t="s">
        <v>179</v>
      </c>
    </row>
    <row r="11" spans="1:2" x14ac:dyDescent="0.25">
      <c r="A11" s="2" t="s">
        <v>10</v>
      </c>
      <c r="B11" s="62" t="s">
        <v>180</v>
      </c>
    </row>
    <row r="12" spans="1:2" x14ac:dyDescent="0.25">
      <c r="A12" s="1" t="s">
        <v>11</v>
      </c>
      <c r="B12" s="61" t="s">
        <v>181</v>
      </c>
    </row>
    <row r="13" spans="1:2" x14ac:dyDescent="0.25">
      <c r="A13" s="2" t="s">
        <v>12</v>
      </c>
      <c r="B13" s="62" t="s">
        <v>182</v>
      </c>
    </row>
    <row r="14" spans="1:2" x14ac:dyDescent="0.25">
      <c r="A14" s="1" t="s">
        <v>13</v>
      </c>
      <c r="B14" s="61" t="s">
        <v>183</v>
      </c>
    </row>
  </sheetData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Part List Report</vt:lpstr>
      <vt:lpstr>Project Information</vt:lpstr>
      <vt:lpstr>'Part List Report'!Область_печати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IzotLab</dc:creator>
  <cp:lastModifiedBy>Dimasssius</cp:lastModifiedBy>
  <cp:lastPrinted>2025-12-03T08:56:04Z</cp:lastPrinted>
  <dcterms:created xsi:type="dcterms:W3CDTF">2002-11-05T15:28:02Z</dcterms:created>
  <dcterms:modified xsi:type="dcterms:W3CDTF">2026-06-04T19:49:12Z</dcterms:modified>
</cp:coreProperties>
</file>