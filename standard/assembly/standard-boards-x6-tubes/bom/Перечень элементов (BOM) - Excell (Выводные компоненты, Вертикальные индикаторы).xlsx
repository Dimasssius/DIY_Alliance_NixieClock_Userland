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\BOM\"/>
    </mc:Choice>
  </mc:AlternateContent>
  <xr:revisionPtr revIDLastSave="0" documentId="8_{B9DCBA42-EEC4-4310-8664-46CCAFEE7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<sst xmlns="http://schemas.openxmlformats.org/spreadsheetml/2006/main" count="186" uniqueCount="175">
  <si>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</si>
  <si>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</si>
  <si>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</si>
  <si>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</si>
  <si>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</si>
  <si>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</si>
  <si>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</si>
  <si>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</si>
  <si>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</si>
  <si>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</si>
  <si>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</si>
  <si>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</si>
  <si>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</si>
  <si>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</si>
  <si>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</si>
  <si>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</si>
  <si>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</si>
  <si>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</si>
  <si>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</si>
  <si>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</si>
  <si>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</si>
  <si>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</si>
  <si>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(Выводные компоненты, Вертикальные индикаторы) for Variant [THD Variation - Vertical Tubes] of Project [Nixie Clock Avito x6.PrjPcb] (No PCB Document Selected)</t>
  </si>
  <si>
    <t>Nixie Clock Avito x6.PrjPcb</t>
  </si>
  <si>
    <t>THD Variation - Vertical Tubes</t>
  </si>
  <si>
    <t>04.06.2026</t>
  </si>
  <si>
    <t>57</t>
  </si>
  <si>
    <t>Designator</t>
  </si>
  <si>
    <t>C1</t>
  </si>
  <si>
    <t>C2</t>
  </si>
  <si>
    <t>C3</t>
  </si>
  <si>
    <t>C5, C6</t>
  </si>
  <si>
    <t>D1</t>
  </si>
  <si>
    <t>D2</t>
  </si>
  <si>
    <t>D3, D4</t>
  </si>
  <si>
    <t>IC1</t>
  </si>
  <si>
    <t>IC2, IC3, IC4, IC5, IC6, IC7, IC8</t>
  </si>
  <si>
    <t>IC9</t>
  </si>
  <si>
    <t>IC11</t>
  </si>
  <si>
    <t>IC12</t>
  </si>
  <si>
    <t>IC14</t>
  </si>
  <si>
    <t>J1, J2</t>
  </si>
  <si>
    <t>J3, J4</t>
  </si>
  <si>
    <t>J9</t>
  </si>
  <si>
    <t>L1</t>
  </si>
  <si>
    <t>LS1</t>
  </si>
  <si>
    <t>Q1</t>
  </si>
  <si>
    <t>Q2</t>
  </si>
  <si>
    <t>R1, R2, R6, R8, R14</t>
  </si>
  <si>
    <t>R3</t>
  </si>
  <si>
    <t>R4</t>
  </si>
  <si>
    <t>R5, R10</t>
  </si>
  <si>
    <t>R7</t>
  </si>
  <si>
    <t>R11</t>
  </si>
  <si>
    <t>R12</t>
  </si>
  <si>
    <t>R13</t>
  </si>
  <si>
    <t>R15</t>
  </si>
  <si>
    <t>R16, R23</t>
  </si>
  <si>
    <t>R19, R20, R21, R22</t>
  </si>
  <si>
    <t>R?</t>
  </si>
  <si>
    <t>S3, S7, S11, S15</t>
  </si>
  <si>
    <t>S17</t>
  </si>
  <si>
    <t>U1</t>
  </si>
  <si>
    <t>Comment</t>
  </si>
  <si>
    <t>4.7uF</t>
  </si>
  <si>
    <t>0.1uF</t>
  </si>
  <si>
    <t>100uF</t>
  </si>
  <si>
    <t>BYV26C</t>
  </si>
  <si>
    <t>1N5819</t>
  </si>
  <si>
    <t>LED0603</t>
  </si>
  <si>
    <t>K155ID1</t>
  </si>
  <si>
    <t>TLP291</t>
  </si>
  <si>
    <t>DS3231 Mini</t>
  </si>
  <si>
    <t>DHT11</t>
  </si>
  <si>
    <t>DS18B20+</t>
  </si>
  <si>
    <t>ARD-NANO30NP</t>
  </si>
  <si>
    <t>Female Header 1x10-Pin</t>
  </si>
  <si>
    <t>Female Header 1x3-Pin</t>
  </si>
  <si>
    <t>U254-051N-4BH806</t>
  </si>
  <si>
    <t>XR6*8-151K-L</t>
  </si>
  <si>
    <t>CMI-9605-0580T</t>
  </si>
  <si>
    <t>STP20NF20</t>
  </si>
  <si>
    <t>MPSA42</t>
  </si>
  <si>
    <t>10kΩ</t>
  </si>
  <si>
    <t>1kΩ</t>
  </si>
  <si>
    <t>680kΩ</t>
  </si>
  <si>
    <t>100Ω</t>
  </si>
  <si>
    <t>470Ω</t>
  </si>
  <si>
    <t>3kΩ</t>
  </si>
  <si>
    <t>33kΩ</t>
  </si>
  <si>
    <t>56kΩ</t>
  </si>
  <si>
    <t>200Ω</t>
  </si>
  <si>
    <t>4.7kΩ</t>
  </si>
  <si>
    <t>5.1kΩ</t>
  </si>
  <si>
    <t>EVQPF108K</t>
  </si>
  <si>
    <t>BME280</t>
  </si>
  <si>
    <t>CH340C</t>
  </si>
  <si>
    <t>Description</t>
  </si>
  <si>
    <t>Capacitor, Aluminum Electrolytic Capacitor, Through Hole, D6.3xL12mm, 4.7uF, 400V, ±20%, Aluminum Electrolytic Capacitors - Leaded, ROHS</t>
  </si>
  <si>
    <t>Capacitor, Ceramic, Through Hole, 50V, 100nF, X7R, ±10%, P=2.54mm, Ceramic Capacitors, RoHS</t>
  </si>
  <si>
    <t>Capacitor, Aluminum Electrolytic Capacitor, Through Hole, D4xL7mm, 100uF, 6.3V, ±20%, Aluminum Electrolytic Capacitors - Leaded, ROHS</t>
  </si>
  <si>
    <t>Capacitor, Ceramic (MLCC), SMD, 100nF, 6.3V, ±10%, X7R, Multilayer Ceramic Capacitors MLCC - SMD/SMT, ROHS</t>
  </si>
  <si>
    <t>Diode, DO-41, 600V, 30A, 30ns, Independent, 2.5V@1A, 1A ,Single Diodes ROHS</t>
  </si>
  <si>
    <t>Diode Schottky, DO-41, 30A, Independent, 40V, 900mV@3A, 1A, Single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</si>
  <si>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</si>
  <si>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</si>
  <si>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</si>
  <si>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Development Board, Real Time Clock</t>
  </si>
  <si>
    <t>Temperature and Humidity Sensor, SIP-4, ROHS</t>
  </si>
  <si>
    <t>Temperature Sensor, THD, TO-92, 3V~5.5V, -55℃~+125℃, ±0.5, Single Bus, RoHS</t>
  </si>
  <si>
    <t>Development Board, Arduino Nano v3.0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</si>
  <si>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</si>
  <si>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</si>
  <si>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1.8A, USB 2.0, Horizontal Attachment, 5P, Female, -20℃~+85℃, Micro-B, SMD, USB Connectors, ROHS</t>
  </si>
  <si>
    <t>Fixed Inductor, Through Hole, D6xL8mm, 150uH, ±10%, 500mA, 780mΩ,  Drum-core Inductor, Fixed Inductors, RoHS</t>
  </si>
  <si>
    <t>Buzzer, D=9.6mm, 80dB, Active (Built-in Driver Circuit, Electromagnetic Type, 2.7kHz, Plugin, Buzzers, ROHS</t>
  </si>
  <si>
    <t>MOSFET (N-Channel), TO-220, 200V, 18A, 30W, 125mΩ@10V, 1 N-Channel, Single FETs, MOSFETs, RoHS</t>
  </si>
  <si>
    <t>Transistor Bipolar (BJT), NPN, TO-92-3, 300V, 625mW, 25@1.0mA, 10V, 500mA, Bipolar (BJT), ROHS</t>
  </si>
  <si>
    <t>Resistor, Metal Film Resistor, Through Hole, D2.3xL6.5mm, 10kΩ, ±1%, 250mW, Through Hole Resistors, ROHS</t>
  </si>
  <si>
    <t>Resistor, Metal Film Resistor, Through Hole, D2.3xL6.5mm, 1kΩ, ±1%, 250mW, Through Hole Resistors, ROHS</t>
  </si>
  <si>
    <t>Resistor, Metal Film Resistor, Through Hole, D2.3xL6.5mm, 680kΩ, ±1%, 250mW, Through Hole Resistors, ROHS</t>
  </si>
  <si>
    <t>Resistor, Metal Film Resistor, Through Hole, D2.3xL6.5mm, 100Ω, ±1%, 250mW, Through Hole Resistors, ROHS</t>
  </si>
  <si>
    <t>Resistor, Metal Film Resistor, Through Hole, D2.3xL6.5mm, 470Ω, ±1%, 250mW, Through Hole Resistors, ROHS</t>
  </si>
  <si>
    <t>Resistor, Metal Film Resistor, Through Hole, D2.3xL6.5mm, 3kΩ, ±1%, 250mW, Through Hole Resistors, ROHS</t>
  </si>
  <si>
    <t>Resistor, Metal Film Resistor, Through Hole, D2.3xL6.5mm, 33kΩ, ±1%, 250mW, Through Hole Resistors, ROHS</t>
  </si>
  <si>
    <t>Resistor, Metal Film Resistor, Through Hole, D2.3xL6.5mm, 56kΩ, ±1%, 250mW, Through Hole Resistors, ROHS</t>
  </si>
  <si>
    <t>Resistor, Metal Film Resistor, Through Hole, D2.3xL6.5mm, 200Ω, ±1%, 250mW, Through Hole Resistors, ROHS</t>
  </si>
  <si>
    <t>Resistor, Metal Film Resistor, Through Hole, D2.3xL6.5mm, 4.7kΩ, ±1%, 250mW, Through Hole Resistors, ROHS</t>
  </si>
  <si>
    <t>Resistor, Thick Film Resistor, SMD, 1kΩ, ±5%, Chip Resistor - Surface Mount, ROHS</t>
  </si>
  <si>
    <t>Resistor, Thick Film Resistor, SMD, 5.1kΩ, ±5%, Chip Resistor - Surface Mount, ROHS</t>
  </si>
  <si>
    <t>Switch Tactile</t>
  </si>
  <si>
    <t>Development Board, LGA-8(2.5x2.5), Temperature and Humidity Sensor, ROHS</t>
  </si>
  <si>
    <t>USB Converter, SOP-16, 2Mbps Transceiver, USB 2.0, USB Converters,  ROHS</t>
  </si>
  <si>
    <t>Footprint</t>
  </si>
  <si>
    <t>CAP_THD_ELEC_ALUM_D8.0MM_H12.5MM_SHORT _SMD_C1828_#2_THD</t>
  </si>
  <si>
    <t>CAP_THD_CERML</t>
  </si>
  <si>
    <t>CAP_THD_ELEC_ALUM_D4.0MM_H7.0MM_THD/SMD_THD</t>
  </si>
  <si>
    <t>CAP_SMD_MLCC_C0603_(M1608)_C0402A_(M1005A)</t>
  </si>
  <si>
    <t>DO-41/DO-214AC_THD/SMD_THD</t>
  </si>
  <si>
    <t>DO-41/DO-214AC_VERTICAL_SMD/THD_THD</t>
  </si>
  <si>
    <t>LED 0603_(1608)_0402A_(1005)</t>
  </si>
  <si>
    <t>DIP16</t>
  </si>
  <si>
    <t>SOIC127P700X230-4N</t>
  </si>
  <si>
    <t>DS3231 Mini - Uspide Down</t>
  </si>
  <si>
    <t>DHT11 - SMD</t>
  </si>
  <si>
    <t>TO-92</t>
  </si>
  <si>
    <t>ARDNANO30NP</t>
  </si>
  <si>
    <t>HEADER_FEMALE_10PIN</t>
  </si>
  <si>
    <t>HEADER_FEMALE_3PIN</t>
  </si>
  <si>
    <t>USB_MIICRO_HORIZONTAL_3</t>
  </si>
  <si>
    <t>XR6*8-151K-L_CDRH74N_THD</t>
  </si>
  <si>
    <t>CMI96050580T</t>
  </si>
  <si>
    <t>TO-220/DPAK_THD/SMD_THD_#2</t>
  </si>
  <si>
    <t>RES_THD/SMD_R0603_R0402_10K_THD</t>
  </si>
  <si>
    <t>RES_THD/SMD_R0603_R0402_1K_THD</t>
  </si>
  <si>
    <t>RES_THD/SMD_R0603_R0402_680K_THD</t>
  </si>
  <si>
    <t>RES_THD/SMD_R0603_R0402_100OHM_THD</t>
  </si>
  <si>
    <t>RES_THD/SMD_R0603_R0402_470OHM_THD</t>
  </si>
  <si>
    <t>RES_THD/SMD_R0603_R0402_3K_THD</t>
  </si>
  <si>
    <t>RES_THD/SMD_R0603_R0402_33K_THD</t>
  </si>
  <si>
    <t>RES_THD/SMD_R0603_R0402_56K_THD</t>
  </si>
  <si>
    <t>RES_THD/SMD_R0603_R0402_200OHM_THD</t>
  </si>
  <si>
    <t>RES_THD/SMD_R0603_R0402_4.7K_THD</t>
  </si>
  <si>
    <t>RES_SMD_R0603_(M1608)_R0402A_(M1005A)</t>
  </si>
  <si>
    <t>EVQPF008K</t>
  </si>
  <si>
    <t>BME280_DEVBOARD</t>
  </si>
  <si>
    <t>SOIC127P600X180-16N</t>
  </si>
  <si>
    <t>Quantity</t>
  </si>
  <si>
    <t>C:\Users\Dimasssius\Documents\Altium Designer\Projects\Nixie Clock\Avito Projects\Nixie Clock Avito x6\Nixie Clock Avito x6.PrjPcb</t>
  </si>
  <si>
    <t>22:48</t>
  </si>
  <si>
    <t>04.06.2026 22:48</t>
  </si>
  <si>
    <t>Перечень элементов (BOM) - Excell (Выводные компоненты, Вертикальные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</si>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</sst>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2" totalsRowShown="0" headerRowDxfId="10" dataDxfId="8" headerRowBorderDxfId="9" tableBorderDxfId="7" totalsRowBorderDxfId="6" headerRowCellStyle="Акцент5" dataCellStyle="40% — акцент5">
  <autoFilter ref="B7:G4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63</v>
      </c>
      <c r="E7" s="25" t="s">
        <v>97</v>
      </c>
      <c r="F7" s="25" t="s">
        <v>133</v>
      </c>
      <c r="G7" s="26" t="s">
        <v>167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64</v>
      </c>
      <c r="E8" s="35" t="s">
        <v>98</v>
      </c>
      <c r="F8" s="38" t="s">
        <v>134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65</v>
      </c>
      <c r="E9" s="36" t="s">
        <v>99</v>
      </c>
      <c r="F9" s="41" t="s">
        <v>135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66</v>
      </c>
      <c r="E10" s="35" t="s">
        <v>100</v>
      </c>
      <c r="F10" s="38" t="s">
        <v>136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65</v>
      </c>
      <c r="E11" s="36" t="s">
        <v>101</v>
      </c>
      <c r="F11" s="41" t="s">
        <v>137</v>
      </c>
      <c r="G11" s="42">
        <v>2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67</v>
      </c>
      <c r="E12" s="35" t="s">
        <v>102</v>
      </c>
      <c r="F12" s="38" t="s">
        <v>138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68</v>
      </c>
      <c r="E13" s="36" t="s">
        <v>103</v>
      </c>
      <c r="F13" s="41" t="s">
        <v>139</v>
      </c>
      <c r="G13" s="42">
        <v>1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69</v>
      </c>
      <c r="E14" s="35" t="s">
        <v>104</v>
      </c>
      <c r="F14" s="38" t="s">
        <v>140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70</v>
      </c>
      <c r="E15" s="36" t="s">
        <v>105</v>
      </c>
      <c r="F15" s="41" t="s">
        <v>141</v>
      </c>
      <c r="G15" s="42">
        <v>1</v>
      </c>
    </row>
    <row r="16" spans="1:8" ht="27.6" x14ac:dyDescent="0.25">
      <c r="A16" s="14"/>
      <c r="B16" s="37">
        <f>ROW(B16) - ROW($B$7)</f>
        <v>9</v>
      </c>
      <c r="C16" s="35" t="s">
        <v>36</v>
      </c>
      <c r="D16" s="19" t="s">
        <v>71</v>
      </c>
      <c r="E16" s="35" t="s">
        <v>106</v>
      </c>
      <c r="F16" s="38" t="s">
        <v>142</v>
      </c>
      <c r="G16" s="39">
        <v>7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72</v>
      </c>
      <c r="E17" s="36" t="s">
        <v>107</v>
      </c>
      <c r="F17" s="41" t="s">
        <v>143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73</v>
      </c>
      <c r="E18" s="35" t="s">
        <v>108</v>
      </c>
      <c r="F18" s="38" t="s">
        <v>144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74</v>
      </c>
      <c r="E19" s="36" t="s">
        <v>109</v>
      </c>
      <c r="F19" s="41" t="s">
        <v>145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75</v>
      </c>
      <c r="E20" s="35" t="s">
        <v>110</v>
      </c>
      <c r="F20" s="38" t="s">
        <v>146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76</v>
      </c>
      <c r="E21" s="36" t="s">
        <v>111</v>
      </c>
      <c r="F21" s="41" t="s">
        <v>147</v>
      </c>
      <c r="G21" s="42">
        <v>2</v>
      </c>
    </row>
    <row r="22" spans="1:7" ht="27.6" x14ac:dyDescent="0.25">
      <c r="A22" s="14"/>
      <c r="B22" s="37">
        <f>ROW(B22) - ROW($B$7)</f>
        <v>15</v>
      </c>
      <c r="C22" s="35" t="s">
        <v>42</v>
      </c>
      <c r="D22" s="19" t="s">
        <v>77</v>
      </c>
      <c r="E22" s="35" t="s">
        <v>112</v>
      </c>
      <c r="F22" s="38" t="s">
        <v>148</v>
      </c>
      <c r="G22" s="39">
        <v>2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78</v>
      </c>
      <c r="E23" s="36" t="s">
        <v>113</v>
      </c>
      <c r="F23" s="41" t="s">
        <v>149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79</v>
      </c>
      <c r="E24" s="35" t="s">
        <v>114</v>
      </c>
      <c r="F24" s="38" t="s">
        <v>150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80</v>
      </c>
      <c r="E25" s="36" t="s">
        <v>115</v>
      </c>
      <c r="F25" s="41" t="s">
        <v>151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81</v>
      </c>
      <c r="E26" s="35" t="s">
        <v>116</v>
      </c>
      <c r="F26" s="38" t="s">
        <v>152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82</v>
      </c>
      <c r="E27" s="36" t="s">
        <v>117</v>
      </c>
      <c r="F27" s="41" t="s">
        <v>145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83</v>
      </c>
      <c r="E28" s="35" t="s">
        <v>118</v>
      </c>
      <c r="F28" s="38" t="s">
        <v>153</v>
      </c>
      <c r="G28" s="39">
        <v>5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84</v>
      </c>
      <c r="E29" s="36" t="s">
        <v>119</v>
      </c>
      <c r="F29" s="41" t="s">
        <v>154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85</v>
      </c>
      <c r="E30" s="35" t="s">
        <v>120</v>
      </c>
      <c r="F30" s="38" t="s">
        <v>155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121</v>
      </c>
      <c r="F31" s="41" t="s">
        <v>156</v>
      </c>
      <c r="G31" s="42">
        <v>2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122</v>
      </c>
      <c r="F32" s="38" t="s">
        <v>157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88</v>
      </c>
      <c r="E33" s="36" t="s">
        <v>123</v>
      </c>
      <c r="F33" s="41" t="s">
        <v>158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89</v>
      </c>
      <c r="E34" s="35" t="s">
        <v>124</v>
      </c>
      <c r="F34" s="38" t="s">
        <v>159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90</v>
      </c>
      <c r="E35" s="36" t="s">
        <v>125</v>
      </c>
      <c r="F35" s="41" t="s">
        <v>160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91</v>
      </c>
      <c r="E36" s="35" t="s">
        <v>126</v>
      </c>
      <c r="F36" s="38" t="s">
        <v>161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92</v>
      </c>
      <c r="E37" s="36" t="s">
        <v>127</v>
      </c>
      <c r="F37" s="41" t="s">
        <v>162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84</v>
      </c>
      <c r="E38" s="35" t="s">
        <v>128</v>
      </c>
      <c r="F38" s="38" t="s">
        <v>163</v>
      </c>
      <c r="G38" s="39">
        <v>4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93</v>
      </c>
      <c r="E39" s="36" t="s">
        <v>129</v>
      </c>
      <c r="F39" s="41" t="s">
        <v>163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94</v>
      </c>
      <c r="E40" s="35" t="s">
        <v>130</v>
      </c>
      <c r="F40" s="38" t="s">
        <v>164</v>
      </c>
      <c r="G40" s="39">
        <v>4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95</v>
      </c>
      <c r="E41" s="36" t="s">
        <v>131</v>
      </c>
      <c r="F41" s="41" t="s">
        <v>165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96</v>
      </c>
      <c r="E42" s="35" t="s">
        <v>132</v>
      </c>
      <c r="F42" s="38" t="s">
        <v>166</v>
      </c>
      <c r="G42" s="39">
        <v>1</v>
      </c>
    </row>
    <row r="43" spans="1:7" ht="13.8" x14ac:dyDescent="0.25">
      <c r="A43" s="14"/>
      <c r="B43" s="34" t="s">
        <v>18</v>
      </c>
      <c r="C43" s="30"/>
      <c r="D43" s="30"/>
      <c r="E43" s="30"/>
      <c r="F43" s="30"/>
      <c r="G43" s="59" t="s">
        <v>26</v>
      </c>
    </row>
    <row r="44" spans="1:7" ht="13.8" x14ac:dyDescent="0.25">
      <c r="A44" s="14"/>
      <c r="B44" s="29"/>
      <c r="C44" s="31"/>
      <c r="D44" s="31"/>
      <c r="E44" s="31"/>
      <c r="F44" s="31"/>
      <c r="G44" s="6"/>
    </row>
    <row r="45" spans="1:7" ht="13.8" x14ac:dyDescent="0.25">
      <c r="A45" s="14"/>
      <c r="B45" s="29"/>
      <c r="C45" s="31"/>
      <c r="D45" s="31"/>
      <c r="E45" s="31"/>
      <c r="F45" s="31"/>
      <c r="G45" s="7"/>
    </row>
    <row r="46" spans="1:7" ht="14.4" thickBot="1" x14ac:dyDescent="0.3">
      <c r="A46" s="21"/>
      <c r="B46" s="32"/>
      <c r="C46" s="33"/>
      <c r="D46" s="33"/>
      <c r="E46" s="33"/>
      <c r="F46" s="33"/>
      <c r="G4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168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168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169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170</v>
      </c>
    </row>
    <row r="11" spans="1:2" x14ac:dyDescent="0.25">
      <c r="A11" s="2" t="s">
        <v>10</v>
      </c>
      <c r="B11" s="62" t="s">
        <v>171</v>
      </c>
    </row>
    <row r="12" spans="1:2" x14ac:dyDescent="0.25">
      <c r="A12" s="1" t="s">
        <v>11</v>
      </c>
      <c r="B12" s="61" t="s">
        <v>172</v>
      </c>
    </row>
    <row r="13" spans="1:2" x14ac:dyDescent="0.25">
      <c r="A13" s="2" t="s">
        <v>12</v>
      </c>
      <c r="B13" s="62" t="s">
        <v>173</v>
      </c>
    </row>
    <row r="14" spans="1:2" x14ac:dyDescent="0.25">
      <c r="A14" s="1" t="s">
        <v>13</v>
      </c>
      <c r="B14" s="61" t="s">
        <v>174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2026-06-04T19:49:00Z</dcterms:modified>
</cp:coreProperties>
</file>