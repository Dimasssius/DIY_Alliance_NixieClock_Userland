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 - SMD\Maximal Configuration\BOM\"/>
    </mc:Choice>
  </mc:AlternateContent>
  <xr:revisionPtr revIDLastSave="0" documentId="8_{2F6CDE64-C0AF-4FBC-AD42-F67598C74B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1" i="3" l="1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<sst xmlns="http://schemas.openxmlformats.org/spreadsheetml/2006/main" count="302" uniqueCount="255">
  <si>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</si>
  <si>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</si>
  <si>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</si>
  <si>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</si>
  <si>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</si>
  <si>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</si>
  <si>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</si>
  <si>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</si>
  <si>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</si>
  <si>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</si>
  <si>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</si>
  <si>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</si>
  <si>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</si>
  <si>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</si>
  <si>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</si>
  <si>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</si>
  <si>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</si>
  <si>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</si>
  <si>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</si>
  <si>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</si>
  <si>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</si>
  <si>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</si>
  <si>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[Maximal Configuration] of Project [Nixie Clock Avito x4 - SMD.PrjPcb] (No PCB Document Selected)</t>
  </si>
  <si>
    <t>Nixie Clock Avito x4 - SMD.PrjPcb</t>
  </si>
  <si>
    <t>Maximal Configuration</t>
  </si>
  <si>
    <t>09.04.2026</t>
  </si>
  <si>
    <t>106</t>
  </si>
  <si>
    <t>Designator</t>
  </si>
  <si>
    <t>ANT1</t>
  </si>
  <si>
    <t>B1</t>
  </si>
  <si>
    <t>C1</t>
  </si>
  <si>
    <t>C2, C15, C17, C18, C20, C25, C26, C27</t>
  </si>
  <si>
    <t>C3</t>
  </si>
  <si>
    <t>C4, C11</t>
  </si>
  <si>
    <t>C5, C10</t>
  </si>
  <si>
    <t>C6, C14</t>
  </si>
  <si>
    <t>C7, C9</t>
  </si>
  <si>
    <t>C8</t>
  </si>
  <si>
    <t>C12, C21</t>
  </si>
  <si>
    <t>C13</t>
  </si>
  <si>
    <t>C16</t>
  </si>
  <si>
    <t>C19, C23</t>
  </si>
  <si>
    <t>C24</t>
  </si>
  <si>
    <t>D1</t>
  </si>
  <si>
    <t>D2</t>
  </si>
  <si>
    <t>D3</t>
  </si>
  <si>
    <t>D4</t>
  </si>
  <si>
    <t>D5, D6</t>
  </si>
  <si>
    <t>IC1, IC2, IC3, IC4, IC5</t>
  </si>
  <si>
    <t>IC6</t>
  </si>
  <si>
    <t>IC7</t>
  </si>
  <si>
    <t>IC8</t>
  </si>
  <si>
    <t>IC9</t>
  </si>
  <si>
    <t>IC10</t>
  </si>
  <si>
    <t>IC11</t>
  </si>
  <si>
    <t>IC13</t>
  </si>
  <si>
    <t>IC14</t>
  </si>
  <si>
    <t>J1, J3</t>
  </si>
  <si>
    <t>J2</t>
  </si>
  <si>
    <t>L1</t>
  </si>
  <si>
    <t>LS1</t>
  </si>
  <si>
    <t>Q1, Q2, Q4</t>
  </si>
  <si>
    <t>Q3</t>
  </si>
  <si>
    <t>R1, R4, R6, R7, R9, R24, R25, R27, R31</t>
  </si>
  <si>
    <t>R2, R8</t>
  </si>
  <si>
    <t>R3</t>
  </si>
  <si>
    <t>R5</t>
  </si>
  <si>
    <t>R10</t>
  </si>
  <si>
    <t>R11</t>
  </si>
  <si>
    <t>R12</t>
  </si>
  <si>
    <t>R13</t>
  </si>
  <si>
    <t>R14</t>
  </si>
  <si>
    <t>R15</t>
  </si>
  <si>
    <t>R16</t>
  </si>
  <si>
    <t>R17</t>
  </si>
  <si>
    <t>R18, R21</t>
  </si>
  <si>
    <t>R19</t>
  </si>
  <si>
    <t>R20</t>
  </si>
  <si>
    <t>R22</t>
  </si>
  <si>
    <t>R23</t>
  </si>
  <si>
    <t>R26</t>
  </si>
  <si>
    <t>R28</t>
  </si>
  <si>
    <t>R29, R30, R32</t>
  </si>
  <si>
    <t>R34, R35, R36, R37</t>
  </si>
  <si>
    <t>S1, S2, S3, S4</t>
  </si>
  <si>
    <t>S5</t>
  </si>
  <si>
    <t>S6</t>
  </si>
  <si>
    <t>S7, S8, S9, S10</t>
  </si>
  <si>
    <t>TR1</t>
  </si>
  <si>
    <t>U1</t>
  </si>
  <si>
    <t>Y1</t>
  </si>
  <si>
    <t>Y2</t>
  </si>
  <si>
    <t>Comment</t>
  </si>
  <si>
    <t>AN2051-245</t>
  </si>
  <si>
    <t>CR1025</t>
  </si>
  <si>
    <t>1uF</t>
  </si>
  <si>
    <t>0.1uF</t>
  </si>
  <si>
    <t>22uF</t>
  </si>
  <si>
    <t>0.22uF</t>
  </si>
  <si>
    <t>6.8pF</t>
  </si>
  <si>
    <t>10uF</t>
  </si>
  <si>
    <t>3pF</t>
  </si>
  <si>
    <t>2.4pF</t>
  </si>
  <si>
    <t>100uF</t>
  </si>
  <si>
    <t>10nF</t>
  </si>
  <si>
    <t>US1M</t>
  </si>
  <si>
    <t>TL1838</t>
  </si>
  <si>
    <t>LED0402</t>
  </si>
  <si>
    <t>SS12</t>
  </si>
  <si>
    <t>LED0603</t>
  </si>
  <si>
    <t>TLP291</t>
  </si>
  <si>
    <t>74HC595D</t>
  </si>
  <si>
    <t>W25Q64JVSSIQ</t>
  </si>
  <si>
    <t>ESP8266EX</t>
  </si>
  <si>
    <t>MAX668</t>
  </si>
  <si>
    <t>ATMEGA328P-AU</t>
  </si>
  <si>
    <t>AMS1117-3.3</t>
  </si>
  <si>
    <t>RV-3028-C7</t>
  </si>
  <si>
    <t>K155ID1</t>
  </si>
  <si>
    <t>Female Header 1x10-Pin</t>
  </si>
  <si>
    <t>USB_C</t>
  </si>
  <si>
    <t>LQG15HS2N2B02D</t>
  </si>
  <si>
    <t>FUET-4020</t>
  </si>
  <si>
    <t>MMBTA42</t>
  </si>
  <si>
    <t>AON7264E</t>
  </si>
  <si>
    <t>10kΩ</t>
  </si>
  <si>
    <t>33kΩ</t>
  </si>
  <si>
    <t>470Ω</t>
  </si>
  <si>
    <t>56kΩ</t>
  </si>
  <si>
    <t>3kΩ</t>
  </si>
  <si>
    <t>220Ω</t>
  </si>
  <si>
    <t>0.1Ω</t>
  </si>
  <si>
    <t>1kΩ</t>
  </si>
  <si>
    <t>1.5MΩ</t>
  </si>
  <si>
    <t>499Ω</t>
  </si>
  <si>
    <t>12kΩ</t>
  </si>
  <si>
    <t>8.2kΩ</t>
  </si>
  <si>
    <t>499kΩ</t>
  </si>
  <si>
    <t>200Ω</t>
  </si>
  <si>
    <t>100Ω</t>
  </si>
  <si>
    <t>GL5528</t>
  </si>
  <si>
    <t>5.1kΩ</t>
  </si>
  <si>
    <t>4.7kΩ</t>
  </si>
  <si>
    <t>TS-1009B</t>
  </si>
  <si>
    <t>TSA016A2518C</t>
  </si>
  <si>
    <t>BME280</t>
  </si>
  <si>
    <t>TS-1187A-B-A-B</t>
  </si>
  <si>
    <t>EE0504S</t>
  </si>
  <si>
    <t>CH340C</t>
  </si>
  <si>
    <t>XTM20026000FT00351005</t>
  </si>
  <si>
    <t>CSTCE16M0V53-R0</t>
  </si>
  <si>
    <t>Description</t>
  </si>
  <si>
    <t>Antenna, SMD, 2x5.1mm, 2, 0.5dBi, 110MHz, 2.45GHz, Antennas ROHS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</si>
  <si>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</si>
  <si>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</si>
  <si>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</si>
  <si>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Ceramic (MLCC), SMD, 22uF, 6.3V, ±20%, X5R, Multilayer Ceramic Capacitors MLCC - SMD/SMT, ROHS</t>
  </si>
  <si>
    <t>Capacitor, Ceramic (MLCC), SMD, 220nF, 6.3V, ±10%, X7R, Multilayer Ceramic Capacitors MLCC - SMD/SMT, ROHS</t>
  </si>
  <si>
    <t>Capacitor, Ceramic (MLCC), SMD, 1uF, 6.3V, ±10%, X5R, Multilayer Ceramic Capacitors MLCC - SMD/SMT, ROHS</t>
  </si>
  <si>
    <t>Capacitor, Ceramic (MLCC), SMD, 6.8pF, 50V, ±5%, C0G, Multilayer Ceramic Capacitors MLCC - SMD/SMT, ROHS</t>
  </si>
  <si>
    <t>Capacitor, Ceramic (MLCC), SMD, 10uF, 6.3V, ±20%, X5R, Multilayer Ceramic Capacitors MLCC - SMD/SMT, ROHS</t>
  </si>
  <si>
    <t>Capacitor, Ceramic (MLCC), SMD, 3pF, 50V, ±5%, C0G, Multilayer Ceramic Capacitors MLCC - SMD/SMT, ROHS</t>
  </si>
  <si>
    <t>Capacitor, Ceramic (MLCC), SMD, 2.4pF, 50V, ±5%, C0G, Multilayer Ceramic Capacitors MLCC - SMD/SMT, ROHS</t>
  </si>
  <si>
    <t>Capacitor, Aluminum Electrolytic Capacitor, SMD, D5xL5.4mm, 100uF, 6.3V, ±20%, Aluminum Electrolytic Capacitors - SMD, ROHS</t>
  </si>
  <si>
    <t>Capacitor, Ceramic (MLCC), SMD, 10nF, 50V, ±10%, X7R, Multilayer Ceramic Capacitors MLCC - SMD/SMT, ROHS</t>
  </si>
  <si>
    <t>Diode, SMD, SMA(DO-214AC), 1kV, 1A, 75ns, 1.65V@1A, Independent Type, SMA, Fast Recovery / High Efficiency Diodes, ROHS</t>
  </si>
  <si>
    <t>Remote Receiver Sensor, 38.0kHz, 45m, Through Hole</t>
  </si>
  <si>
    <t>LED Indication - Discrete, 0402, 25mA, 249mcd, Colorless, Transparent Lens, -30℃~+85℃, Positive Stick, 516nm~531nm, Emerald, 120°, 80mW, 3V, LED Indication - Discrete, ROHS</t>
  </si>
  <si>
    <t>Diode Schottky, SMD, SMA(DO-214AC), 20V, 1A,  500mV@1A, Schottky Diodes, ROHS</t>
  </si>
  <si>
    <t>LED Indication - Discrete, 0603, 20mA, 225mcd, Colorless Transparent Lens, -20℃~+85℃, Positive Stick, 620nm~630nm, Red, 120°, 50mW, 2.3V, LED Indication - Discrete,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</si>
  <si>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</si>
  <si>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</si>
  <si>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NOR FLASH, SOIC-8-208mil, 64Mbit, SPI, 133MHz, NOR FLASH, ROHS</t>
  </si>
  <si>
    <t>Microcontroller, QFN-32-EP(5x5), 72.2Mbps, 2400MHz~2483.5MHz, WiFi 2.4GHz, RF Transceiver ICs, ROHS</t>
  </si>
  <si>
    <t>AC-DC Controller and Regulator, MSOP-10, 100kHz~500kHz, 3V~28V, AC-DC Controllers and Regulators, ROHS</t>
  </si>
  <si>
    <t>Microcontroller, TQFP-32(7x7), AVR, 20MHz, Microcontrollers (MCU/MPU/SOC), ROHS</t>
  </si>
  <si>
    <t>Low Drop Out (LDO) Regulator, SOT-223, SOT-89-3, 72dB@(120Hz), 1A, Fixed 3.3V, Positive electrode, 16V, Voltage Regulators - Linear, Low Drop Out (LDO) Regulators, ROHS</t>
  </si>
  <si>
    <t>Real Time Clock, SMD3215-8P,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</si>
  <si>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</si>
  <si>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</si>
  <si>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</si>
  <si>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Fixed Inductor, SMD, 0402, 2.2nH, 900mA, ±5%, 90mΩ, Fixed Inductors, RoHS</t>
  </si>
  <si>
    <t>Buzzer, SMD, 4x4mm, 65dB, Passive (Externally Driven), Electromagnetic, 4kHz, Buzzers ROHS</t>
  </si>
  <si>
    <t>Transistor Bipolar (BJT), NPN, SOT-23, 300V, 225mW, 25@10mA, 10V, 500mA, NPN Bipolar (BJT), ROHS</t>
  </si>
  <si>
    <t>MOSFET (N-Channel), DFN-8(3x3), 60V, 28A, 11W, 13.3mΩ@4.5V, 28A, 1.8V, 1 N-channel, MOSFETs, ROHS</t>
  </si>
  <si>
    <t>Resistor, Thick Film Resistor, SMD, 10kΩ, ±5%, Chip Resistor - Surface Mount, ROHS</t>
  </si>
  <si>
    <t>Resistor, Thick Film Resistor, SMD, 33kΩ, ±5%, Chip Resistor - Surface Mount, ROHS</t>
  </si>
  <si>
    <t>Resistor, Thick Film Resistor, SMD, 470Ω, ±5%, Chip Resistor - Surface Mount, ROHS</t>
  </si>
  <si>
    <t>Resistor, Thick Film Resistor, SMD, 56kΩ, ±5%, Chip Resistor - Surface Mount, ROHS</t>
  </si>
  <si>
    <t>Resistor, Thick Film Resistor, SMD, 3kΩ, ±5%, Chip Resistor - Surface Mount, ROHS</t>
  </si>
  <si>
    <t>Resistor, Thick Film Resistor, SMD, 220Ω, ±5%, Chip Resistor - Surface Mount, ROHS</t>
  </si>
  <si>
    <t>Resistor, Thick Film Resistor, SMD, 0.1Ω, ±5%, Chip Resistor - Surface Mount, ROHS</t>
  </si>
  <si>
    <t>Resistor, Thick Film Resistor, SMD, 1kΩ, ±5%, Chip Resistor - Surface Mount, ROHS</t>
  </si>
  <si>
    <t>Resistor, Thick Film Resistor, SMD, 1.5MΩ, ±5%, Chip Resistor - Surface Mount, ROHS</t>
  </si>
  <si>
    <t>Resistor, Thick Film Resistor, SMD, 499Ω, ±5%, Chip Resistor - Surface Mount, ROHS</t>
  </si>
  <si>
    <t>Resistor, Thick Film Resistor, SMD, 12kΩ, ±5%, Chip Resistor - Surface Mount, ROHS</t>
  </si>
  <si>
    <t>Resistor, Thick Film Resistor, SMD, 8.2kΩ, ±5%, Chip Resistor - Surface Mount, ROHS</t>
  </si>
  <si>
    <t>Resistor, Potentiometer, SMD, SMD-3P, 3.9x3.1mm, Potentiometer, 3kΩ, ±25%, 150mW, Potentiometers, Variable Resistors, ROHS</t>
  </si>
  <si>
    <t>Resistor, Thick Film Resistor, SMD, 499kΩ, ±5%, Chip Resistor - Surface Mount, ROHS</t>
  </si>
  <si>
    <t>Resistor, Thick Film Resistor, SMD, 200Ω, ±5%, Chip Resistor - Surface Mount, ROHS</t>
  </si>
  <si>
    <t>Resistor, Thick Film Resistor, SMD, 100Ω, ±5%, Chip Resistor - Surface Mount, ROHS</t>
  </si>
  <si>
    <t>Photoresistor, Through Hole, P=3mm, 10kΩ~20kΩ, 540nm, 1MΩ, Photoresistors, ROHS</t>
  </si>
  <si>
    <t>Resistor, Thick Film Resistor, SMD, 5.1kΩ, ±5%, Chip Resistor - Surface Mount, ROHS</t>
  </si>
  <si>
    <t>Resistor, Thick Film Resistor, SMD, 4.7kΩ, ±5%, Chip Resistor - Surface Mount, ROHS</t>
  </si>
  <si>
    <t>Switch Tactile Through Hole, 4.5x4.5mm, Round Button, 50mA, Bend-in 4.5mm, SPST, 12V, Plugin, Tactile Switches, ROHS</t>
  </si>
  <si>
    <t>Switch Tactile SMD, 3.35x2.5mm, Oval button, 50mA, Standing paste, 4.2mm ,180gf, 12V, SMD Tactile Switches, ROHS</t>
  </si>
  <si>
    <t>Development Board, LGA-8(2.5x2.5), Temperature and Humidity Sensor, ROHS</t>
  </si>
  <si>
    <t>Switch Tactile SMD, 5.1x5.1mm, Without bracket, 50mA, 100000 Times, 160gf, 12V, Round, SMD Tactile Switches, ROHS</t>
  </si>
  <si>
    <t>Power Transformer, SMD-5P, 1:10, 6.4x6.4mm, Power Transformers, ROHS</t>
  </si>
  <si>
    <t>USB Converter, SOP-16, 2Mbps Transceiver, USB 2.0, USB Converters,  ROHS</t>
  </si>
  <si>
    <t>Crystal Oscillator, SMD, SMD3225-4P, 3.2x2.5mm, 26MHz, 12pF, ±10ppm, ±20ppm, Crystals, ROHS</t>
  </si>
  <si>
    <t>Ceramic Resonators, SMD, SMD3213-3P, 3.2x1.3mm,16MHz, 15pF, 40Ω, Ceramic Resonators, ROHS</t>
  </si>
  <si>
    <t>Footprint</t>
  </si>
  <si>
    <t>ANTC2051</t>
  </si>
  <si>
    <t>CAP_SMD_MLCC_C1812_(M4532)</t>
  </si>
  <si>
    <t>CAP_SMD_MLCC_C0603_(M1608)_C0402A_(M1005A)</t>
  </si>
  <si>
    <t>CAP_SMD_MLCC_C0603_(M1608)</t>
  </si>
  <si>
    <t>CAP_SMD_MLCC_C0402_(M1005)</t>
  </si>
  <si>
    <t>CAP_SMD_ELEC_ALUM_5MM_H5.4MM</t>
  </si>
  <si>
    <t>DO-214AC</t>
  </si>
  <si>
    <t>TSOP4856</t>
  </si>
  <si>
    <t>LED_SMD_0402_(M1005)_GREEN</t>
  </si>
  <si>
    <t>LED 0603_(1608)_0402A_(1005)</t>
  </si>
  <si>
    <t>SOIC127P700X230-4N</t>
  </si>
  <si>
    <t>SOIC127P600X175-16N</t>
  </si>
  <si>
    <t>SOIC127P798X216-8N</t>
  </si>
  <si>
    <t>QFN50P500X500X90-33N-D</t>
  </si>
  <si>
    <t>SOP50P490X110-10N</t>
  </si>
  <si>
    <t>QFP80P900X900X120-32N WITH SPI INTERFACE 2.54</t>
  </si>
  <si>
    <t>SOT-89-3</t>
  </si>
  <si>
    <t>SMD3215-8P</t>
  </si>
  <si>
    <t>DIP16</t>
  </si>
  <si>
    <t>HEADER_FEMALE_10PIN_LOW</t>
  </si>
  <si>
    <t>USB_C_DOUBLE</t>
  </si>
  <si>
    <t>IND_SMD_0402_(M1005)</t>
  </si>
  <si>
    <t>SOT105P255X140-3N</t>
  </si>
  <si>
    <t>DFN-8-EP(3x3)</t>
  </si>
  <si>
    <t>RES_SMD_R0603_(M1608)_R0402A_(M1005A)</t>
  </si>
  <si>
    <t>RES_SMD_R0402_(M1005)</t>
  </si>
  <si>
    <t>RES_SMD_R1206_(M3216)</t>
  </si>
  <si>
    <t>TC33X</t>
  </si>
  <si>
    <t>Photoresistor</t>
  </si>
  <si>
    <t>TS20</t>
  </si>
  <si>
    <t>BME280_DEVBOARD</t>
  </si>
  <si>
    <t>SOIC127P600X180-16N</t>
  </si>
  <si>
    <t>XTL_4_3225</t>
  </si>
  <si>
    <t>XTL_3_3213</t>
  </si>
  <si>
    <t>Quantity</t>
  </si>
  <si>
    <t>C:\Users\Dimasssius\Documents\Altium Designer\Projects\Nixie Clock\Avito Projects\Nixie Clock Avito x4 - SMD\Nixie Clock Avito x4 - SMD.PrjPcb</t>
  </si>
  <si>
    <t>23:14</t>
  </si>
  <si>
    <t>09.04.2026 23:14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</si>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</sst>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71" totalsRowShown="0" headerRowDxfId="10" dataDxfId="8" headerRowBorderDxfId="9" tableBorderDxfId="7" totalsRowBorderDxfId="6" headerRowCellStyle="Акцент5" dataCellStyle="40% — акцент5">
  <autoFilter ref="B7:G71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75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92</v>
      </c>
      <c r="E7" s="25" t="s">
        <v>151</v>
      </c>
      <c r="F7" s="25" t="s">
        <v>212</v>
      </c>
      <c r="G7" s="26" t="s">
        <v>247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93</v>
      </c>
      <c r="E8" s="35" t="s">
        <v>152</v>
      </c>
      <c r="F8" s="38" t="s">
        <v>213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94</v>
      </c>
      <c r="E9" s="36" t="s">
        <v>153</v>
      </c>
      <c r="F9" s="41" t="s">
        <v>94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95</v>
      </c>
      <c r="E10" s="35" t="s">
        <v>154</v>
      </c>
      <c r="F10" s="38" t="s">
        <v>214</v>
      </c>
      <c r="G10" s="39">
        <v>1</v>
      </c>
    </row>
    <row r="11" spans="1:8" ht="27.6" x14ac:dyDescent="0.25">
      <c r="A11" s="14"/>
      <c r="B11" s="40">
        <f>ROW(B11) - ROW($B$7)</f>
        <v>4</v>
      </c>
      <c r="C11" s="36" t="s">
        <v>31</v>
      </c>
      <c r="D11" s="20" t="s">
        <v>96</v>
      </c>
      <c r="E11" s="36" t="s">
        <v>155</v>
      </c>
      <c r="F11" s="41" t="s">
        <v>215</v>
      </c>
      <c r="G11" s="42">
        <v>8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97</v>
      </c>
      <c r="E12" s="35" t="s">
        <v>156</v>
      </c>
      <c r="F12" s="38" t="s">
        <v>216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98</v>
      </c>
      <c r="E13" s="36" t="s">
        <v>157</v>
      </c>
      <c r="F13" s="41" t="s">
        <v>215</v>
      </c>
      <c r="G13" s="42">
        <v>2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95</v>
      </c>
      <c r="E14" s="35" t="s">
        <v>158</v>
      </c>
      <c r="F14" s="38" t="s">
        <v>217</v>
      </c>
      <c r="G14" s="39">
        <v>2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99</v>
      </c>
      <c r="E15" s="36" t="s">
        <v>159</v>
      </c>
      <c r="F15" s="41" t="s">
        <v>217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96</v>
      </c>
      <c r="E16" s="35" t="s">
        <v>155</v>
      </c>
      <c r="F16" s="38" t="s">
        <v>217</v>
      </c>
      <c r="G16" s="39">
        <v>2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100</v>
      </c>
      <c r="E17" s="36" t="s">
        <v>160</v>
      </c>
      <c r="F17" s="41" t="s">
        <v>217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95</v>
      </c>
      <c r="E18" s="35" t="s">
        <v>158</v>
      </c>
      <c r="F18" s="38" t="s">
        <v>215</v>
      </c>
      <c r="G18" s="39">
        <v>2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101</v>
      </c>
      <c r="E19" s="36" t="s">
        <v>161</v>
      </c>
      <c r="F19" s="41" t="s">
        <v>217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102</v>
      </c>
      <c r="E20" s="35" t="s">
        <v>162</v>
      </c>
      <c r="F20" s="38" t="s">
        <v>217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103</v>
      </c>
      <c r="E21" s="36" t="s">
        <v>163</v>
      </c>
      <c r="F21" s="41" t="s">
        <v>218</v>
      </c>
      <c r="G21" s="42">
        <v>2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104</v>
      </c>
      <c r="E22" s="35" t="s">
        <v>164</v>
      </c>
      <c r="F22" s="38" t="s">
        <v>215</v>
      </c>
      <c r="G22" s="39">
        <v>1</v>
      </c>
    </row>
    <row r="23" spans="1:7" ht="13.8" x14ac:dyDescent="0.25">
      <c r="A23" s="14"/>
      <c r="B23" s="40">
        <f>ROW(B23) - ROW($B$7)</f>
        <v>16</v>
      </c>
      <c r="C23" s="36" t="s">
        <v>43</v>
      </c>
      <c r="D23" s="20" t="s">
        <v>105</v>
      </c>
      <c r="E23" s="36" t="s">
        <v>165</v>
      </c>
      <c r="F23" s="41" t="s">
        <v>219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106</v>
      </c>
      <c r="E24" s="35" t="s">
        <v>166</v>
      </c>
      <c r="F24" s="38" t="s">
        <v>220</v>
      </c>
      <c r="G24" s="39">
        <v>1</v>
      </c>
    </row>
    <row r="25" spans="1:7" ht="27.6" x14ac:dyDescent="0.25">
      <c r="A25" s="14"/>
      <c r="B25" s="40">
        <f>ROW(B25) - ROW($B$7)</f>
        <v>18</v>
      </c>
      <c r="C25" s="36" t="s">
        <v>45</v>
      </c>
      <c r="D25" s="20" t="s">
        <v>107</v>
      </c>
      <c r="E25" s="36" t="s">
        <v>167</v>
      </c>
      <c r="F25" s="41" t="s">
        <v>221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108</v>
      </c>
      <c r="E26" s="35" t="s">
        <v>168</v>
      </c>
      <c r="F26" s="38" t="s">
        <v>219</v>
      </c>
      <c r="G26" s="39">
        <v>1</v>
      </c>
    </row>
    <row r="27" spans="1:7" ht="27.6" x14ac:dyDescent="0.25">
      <c r="A27" s="14"/>
      <c r="B27" s="40">
        <f>ROW(B27) - ROW($B$7)</f>
        <v>20</v>
      </c>
      <c r="C27" s="36" t="s">
        <v>47</v>
      </c>
      <c r="D27" s="20" t="s">
        <v>109</v>
      </c>
      <c r="E27" s="36" t="s">
        <v>169</v>
      </c>
      <c r="F27" s="41" t="s">
        <v>222</v>
      </c>
      <c r="G27" s="42">
        <v>2</v>
      </c>
    </row>
    <row r="28" spans="1:7" ht="27.6" x14ac:dyDescent="0.25">
      <c r="A28" s="14"/>
      <c r="B28" s="37">
        <f>ROW(B28) - ROW($B$7)</f>
        <v>21</v>
      </c>
      <c r="C28" s="35" t="s">
        <v>48</v>
      </c>
      <c r="D28" s="19" t="s">
        <v>110</v>
      </c>
      <c r="E28" s="35" t="s">
        <v>170</v>
      </c>
      <c r="F28" s="38" t="s">
        <v>223</v>
      </c>
      <c r="G28" s="39">
        <v>5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111</v>
      </c>
      <c r="E29" s="36" t="s">
        <v>171</v>
      </c>
      <c r="F29" s="41" t="s">
        <v>224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112</v>
      </c>
      <c r="E30" s="35" t="s">
        <v>172</v>
      </c>
      <c r="F30" s="38" t="s">
        <v>225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113</v>
      </c>
      <c r="E31" s="36" t="s">
        <v>173</v>
      </c>
      <c r="F31" s="41" t="s">
        <v>226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114</v>
      </c>
      <c r="E32" s="35" t="s">
        <v>174</v>
      </c>
      <c r="F32" s="38" t="s">
        <v>227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115</v>
      </c>
      <c r="E33" s="36" t="s">
        <v>175</v>
      </c>
      <c r="F33" s="41" t="s">
        <v>228</v>
      </c>
      <c r="G33" s="42">
        <v>1</v>
      </c>
    </row>
    <row r="34" spans="1:7" ht="27.6" x14ac:dyDescent="0.25">
      <c r="A34" s="14"/>
      <c r="B34" s="37">
        <f>ROW(B34) - ROW($B$7)</f>
        <v>27</v>
      </c>
      <c r="C34" s="35" t="s">
        <v>54</v>
      </c>
      <c r="D34" s="19" t="s">
        <v>116</v>
      </c>
      <c r="E34" s="35" t="s">
        <v>176</v>
      </c>
      <c r="F34" s="38" t="s">
        <v>229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117</v>
      </c>
      <c r="E35" s="36" t="s">
        <v>177</v>
      </c>
      <c r="F35" s="41" t="s">
        <v>230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118</v>
      </c>
      <c r="E36" s="35" t="s">
        <v>178</v>
      </c>
      <c r="F36" s="38" t="s">
        <v>231</v>
      </c>
      <c r="G36" s="39">
        <v>1</v>
      </c>
    </row>
    <row r="37" spans="1:7" ht="27.6" x14ac:dyDescent="0.25">
      <c r="A37" s="14"/>
      <c r="B37" s="40">
        <f>ROW(B37) - ROW($B$7)</f>
        <v>30</v>
      </c>
      <c r="C37" s="36" t="s">
        <v>57</v>
      </c>
      <c r="D37" s="20" t="s">
        <v>119</v>
      </c>
      <c r="E37" s="36" t="s">
        <v>179</v>
      </c>
      <c r="F37" s="41" t="s">
        <v>232</v>
      </c>
      <c r="G37" s="42">
        <v>2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120</v>
      </c>
      <c r="E38" s="35" t="s">
        <v>180</v>
      </c>
      <c r="F38" s="38" t="s">
        <v>233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121</v>
      </c>
      <c r="E39" s="36" t="s">
        <v>181</v>
      </c>
      <c r="F39" s="41" t="s">
        <v>234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122</v>
      </c>
      <c r="E40" s="35" t="s">
        <v>182</v>
      </c>
      <c r="F40" s="38" t="s">
        <v>122</v>
      </c>
      <c r="G40" s="39">
        <v>1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123</v>
      </c>
      <c r="E41" s="36" t="s">
        <v>183</v>
      </c>
      <c r="F41" s="41" t="s">
        <v>235</v>
      </c>
      <c r="G41" s="42">
        <v>3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124</v>
      </c>
      <c r="E42" s="35" t="s">
        <v>184</v>
      </c>
      <c r="F42" s="38" t="s">
        <v>236</v>
      </c>
      <c r="G42" s="39">
        <v>1</v>
      </c>
    </row>
    <row r="43" spans="1:7" ht="27.6" x14ac:dyDescent="0.25">
      <c r="A43" s="14"/>
      <c r="B43" s="40">
        <f>ROW(B43) - ROW($B$7)</f>
        <v>36</v>
      </c>
      <c r="C43" s="36" t="s">
        <v>63</v>
      </c>
      <c r="D43" s="20" t="s">
        <v>125</v>
      </c>
      <c r="E43" s="36" t="s">
        <v>185</v>
      </c>
      <c r="F43" s="41" t="s">
        <v>237</v>
      </c>
      <c r="G43" s="42">
        <v>9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126</v>
      </c>
      <c r="E44" s="35" t="s">
        <v>186</v>
      </c>
      <c r="F44" s="38" t="s">
        <v>237</v>
      </c>
      <c r="G44" s="39">
        <v>2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127</v>
      </c>
      <c r="E45" s="36" t="s">
        <v>187</v>
      </c>
      <c r="F45" s="41" t="s">
        <v>237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128</v>
      </c>
      <c r="E46" s="35" t="s">
        <v>188</v>
      </c>
      <c r="F46" s="38" t="s">
        <v>237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129</v>
      </c>
      <c r="E47" s="36" t="s">
        <v>189</v>
      </c>
      <c r="F47" s="41" t="s">
        <v>237</v>
      </c>
      <c r="G47" s="42">
        <v>1</v>
      </c>
    </row>
    <row r="48" spans="1:7" ht="13.8" x14ac:dyDescent="0.25">
      <c r="A48" s="14"/>
      <c r="B48" s="37">
        <f>ROW(B48) - ROW($B$7)</f>
        <v>41</v>
      </c>
      <c r="C48" s="35" t="s">
        <v>68</v>
      </c>
      <c r="D48" s="19" t="s">
        <v>130</v>
      </c>
      <c r="E48" s="35" t="s">
        <v>190</v>
      </c>
      <c r="F48" s="38" t="s">
        <v>238</v>
      </c>
      <c r="G48" s="39">
        <v>1</v>
      </c>
    </row>
    <row r="49" spans="1:7" ht="13.8" x14ac:dyDescent="0.25">
      <c r="A49" s="14"/>
      <c r="B49" s="40">
        <f>ROW(B49) - ROW($B$7)</f>
        <v>42</v>
      </c>
      <c r="C49" s="36" t="s">
        <v>69</v>
      </c>
      <c r="D49" s="20" t="s">
        <v>131</v>
      </c>
      <c r="E49" s="36" t="s">
        <v>191</v>
      </c>
      <c r="F49" s="41" t="s">
        <v>239</v>
      </c>
      <c r="G49" s="42">
        <v>1</v>
      </c>
    </row>
    <row r="50" spans="1:7" ht="13.8" x14ac:dyDescent="0.25">
      <c r="A50" s="14"/>
      <c r="B50" s="37">
        <f>ROW(B50) - ROW($B$7)</f>
        <v>43</v>
      </c>
      <c r="C50" s="35" t="s">
        <v>70</v>
      </c>
      <c r="D50" s="19" t="s">
        <v>132</v>
      </c>
      <c r="E50" s="35" t="s">
        <v>192</v>
      </c>
      <c r="F50" s="38" t="s">
        <v>238</v>
      </c>
      <c r="G50" s="39">
        <v>1</v>
      </c>
    </row>
    <row r="51" spans="1:7" ht="13.8" x14ac:dyDescent="0.25">
      <c r="A51" s="14"/>
      <c r="B51" s="40">
        <f>ROW(B51) - ROW($B$7)</f>
        <v>44</v>
      </c>
      <c r="C51" s="36" t="s">
        <v>71</v>
      </c>
      <c r="D51" s="20" t="s">
        <v>133</v>
      </c>
      <c r="E51" s="36" t="s">
        <v>193</v>
      </c>
      <c r="F51" s="41" t="s">
        <v>237</v>
      </c>
      <c r="G51" s="42">
        <v>1</v>
      </c>
    </row>
    <row r="52" spans="1:7" ht="13.8" x14ac:dyDescent="0.25">
      <c r="A52" s="14"/>
      <c r="B52" s="37">
        <f>ROW(B52) - ROW($B$7)</f>
        <v>45</v>
      </c>
      <c r="C52" s="35" t="s">
        <v>72</v>
      </c>
      <c r="D52" s="19" t="s">
        <v>134</v>
      </c>
      <c r="E52" s="35" t="s">
        <v>194</v>
      </c>
      <c r="F52" s="38" t="s">
        <v>238</v>
      </c>
      <c r="G52" s="39">
        <v>1</v>
      </c>
    </row>
    <row r="53" spans="1:7" ht="13.8" x14ac:dyDescent="0.25">
      <c r="A53" s="14"/>
      <c r="B53" s="40">
        <f>ROW(B53) - ROW($B$7)</f>
        <v>46</v>
      </c>
      <c r="C53" s="36" t="s">
        <v>73</v>
      </c>
      <c r="D53" s="20" t="s">
        <v>135</v>
      </c>
      <c r="E53" s="36" t="s">
        <v>195</v>
      </c>
      <c r="F53" s="41" t="s">
        <v>238</v>
      </c>
      <c r="G53" s="42">
        <v>1</v>
      </c>
    </row>
    <row r="54" spans="1:7" ht="13.8" x14ac:dyDescent="0.25">
      <c r="A54" s="14"/>
      <c r="B54" s="37">
        <f>ROW(B54) - ROW($B$7)</f>
        <v>47</v>
      </c>
      <c r="C54" s="35" t="s">
        <v>74</v>
      </c>
      <c r="D54" s="19" t="s">
        <v>136</v>
      </c>
      <c r="E54" s="35" t="s">
        <v>196</v>
      </c>
      <c r="F54" s="38" t="s">
        <v>237</v>
      </c>
      <c r="G54" s="39">
        <v>1</v>
      </c>
    </row>
    <row r="55" spans="1:7" ht="13.8" x14ac:dyDescent="0.25">
      <c r="A55" s="14"/>
      <c r="B55" s="40">
        <f>ROW(B55) - ROW($B$7)</f>
        <v>48</v>
      </c>
      <c r="C55" s="36" t="s">
        <v>75</v>
      </c>
      <c r="D55" s="20" t="s">
        <v>125</v>
      </c>
      <c r="E55" s="36" t="s">
        <v>185</v>
      </c>
      <c r="F55" s="41" t="s">
        <v>238</v>
      </c>
      <c r="G55" s="42">
        <v>2</v>
      </c>
    </row>
    <row r="56" spans="1:7" ht="13.8" x14ac:dyDescent="0.25">
      <c r="A56" s="14"/>
      <c r="B56" s="37">
        <f>ROW(B56) - ROW($B$7)</f>
        <v>49</v>
      </c>
      <c r="C56" s="35" t="s">
        <v>76</v>
      </c>
      <c r="D56" s="19" t="s">
        <v>129</v>
      </c>
      <c r="E56" s="35" t="s">
        <v>197</v>
      </c>
      <c r="F56" s="38" t="s">
        <v>240</v>
      </c>
      <c r="G56" s="39">
        <v>1</v>
      </c>
    </row>
    <row r="57" spans="1:7" ht="13.8" x14ac:dyDescent="0.25">
      <c r="A57" s="14"/>
      <c r="B57" s="40">
        <f>ROW(B57) - ROW($B$7)</f>
        <v>50</v>
      </c>
      <c r="C57" s="36" t="s">
        <v>77</v>
      </c>
      <c r="D57" s="20" t="s">
        <v>137</v>
      </c>
      <c r="E57" s="36" t="s">
        <v>198</v>
      </c>
      <c r="F57" s="41" t="s">
        <v>237</v>
      </c>
      <c r="G57" s="42">
        <v>1</v>
      </c>
    </row>
    <row r="58" spans="1:7" ht="13.8" x14ac:dyDescent="0.25">
      <c r="A58" s="14"/>
      <c r="B58" s="37">
        <f>ROW(B58) - ROW($B$7)</f>
        <v>51</v>
      </c>
      <c r="C58" s="35" t="s">
        <v>78</v>
      </c>
      <c r="D58" s="19" t="s">
        <v>138</v>
      </c>
      <c r="E58" s="35" t="s">
        <v>199</v>
      </c>
      <c r="F58" s="38" t="s">
        <v>237</v>
      </c>
      <c r="G58" s="39">
        <v>1</v>
      </c>
    </row>
    <row r="59" spans="1:7" ht="13.8" x14ac:dyDescent="0.25">
      <c r="A59" s="14"/>
      <c r="B59" s="40">
        <f>ROW(B59) - ROW($B$7)</f>
        <v>52</v>
      </c>
      <c r="C59" s="36" t="s">
        <v>79</v>
      </c>
      <c r="D59" s="20" t="s">
        <v>139</v>
      </c>
      <c r="E59" s="36" t="s">
        <v>200</v>
      </c>
      <c r="F59" s="41" t="s">
        <v>237</v>
      </c>
      <c r="G59" s="42">
        <v>1</v>
      </c>
    </row>
    <row r="60" spans="1:7" ht="13.8" x14ac:dyDescent="0.25">
      <c r="A60" s="14"/>
      <c r="B60" s="37">
        <f>ROW(B60) - ROW($B$7)</f>
        <v>53</v>
      </c>
      <c r="C60" s="35" t="s">
        <v>80</v>
      </c>
      <c r="D60" s="19" t="s">
        <v>140</v>
      </c>
      <c r="E60" s="35" t="s">
        <v>201</v>
      </c>
      <c r="F60" s="38" t="s">
        <v>241</v>
      </c>
      <c r="G60" s="39">
        <v>1</v>
      </c>
    </row>
    <row r="61" spans="1:7" ht="13.8" x14ac:dyDescent="0.25">
      <c r="A61" s="14"/>
      <c r="B61" s="40">
        <f>ROW(B61) - ROW($B$7)</f>
        <v>54</v>
      </c>
      <c r="C61" s="36" t="s">
        <v>81</v>
      </c>
      <c r="D61" s="20" t="s">
        <v>141</v>
      </c>
      <c r="E61" s="36" t="s">
        <v>202</v>
      </c>
      <c r="F61" s="41" t="s">
        <v>237</v>
      </c>
      <c r="G61" s="42">
        <v>1</v>
      </c>
    </row>
    <row r="62" spans="1:7" ht="13.8" x14ac:dyDescent="0.25">
      <c r="A62" s="14"/>
      <c r="B62" s="37">
        <f>ROW(B62) - ROW($B$7)</f>
        <v>55</v>
      </c>
      <c r="C62" s="35" t="s">
        <v>82</v>
      </c>
      <c r="D62" s="19" t="s">
        <v>142</v>
      </c>
      <c r="E62" s="35" t="s">
        <v>203</v>
      </c>
      <c r="F62" s="38" t="s">
        <v>237</v>
      </c>
      <c r="G62" s="39">
        <v>3</v>
      </c>
    </row>
    <row r="63" spans="1:7" ht="13.8" x14ac:dyDescent="0.25">
      <c r="A63" s="14"/>
      <c r="B63" s="40">
        <f>ROW(B63) - ROW($B$7)</f>
        <v>56</v>
      </c>
      <c r="C63" s="36" t="s">
        <v>83</v>
      </c>
      <c r="D63" s="20" t="s">
        <v>132</v>
      </c>
      <c r="E63" s="36" t="s">
        <v>192</v>
      </c>
      <c r="F63" s="41" t="s">
        <v>237</v>
      </c>
      <c r="G63" s="42">
        <v>4</v>
      </c>
    </row>
    <row r="64" spans="1:7" ht="13.8" x14ac:dyDescent="0.25">
      <c r="A64" s="14"/>
      <c r="B64" s="37">
        <f>ROW(B64) - ROW($B$7)</f>
        <v>57</v>
      </c>
      <c r="C64" s="35" t="s">
        <v>84</v>
      </c>
      <c r="D64" s="19" t="s">
        <v>143</v>
      </c>
      <c r="E64" s="35" t="s">
        <v>204</v>
      </c>
      <c r="F64" s="38" t="s">
        <v>143</v>
      </c>
      <c r="G64" s="39">
        <v>4</v>
      </c>
    </row>
    <row r="65" spans="1:7" ht="13.8" x14ac:dyDescent="0.25">
      <c r="A65" s="14"/>
      <c r="B65" s="40">
        <f>ROW(B65) - ROW($B$7)</f>
        <v>58</v>
      </c>
      <c r="C65" s="36" t="s">
        <v>85</v>
      </c>
      <c r="D65" s="20" t="s">
        <v>144</v>
      </c>
      <c r="E65" s="36" t="s">
        <v>205</v>
      </c>
      <c r="F65" s="41" t="s">
        <v>242</v>
      </c>
      <c r="G65" s="42">
        <v>1</v>
      </c>
    </row>
    <row r="66" spans="1:7" ht="13.8" x14ac:dyDescent="0.25">
      <c r="A66" s="14"/>
      <c r="B66" s="37">
        <f>ROW(B66) - ROW($B$7)</f>
        <v>59</v>
      </c>
      <c r="C66" s="35" t="s">
        <v>86</v>
      </c>
      <c r="D66" s="19" t="s">
        <v>145</v>
      </c>
      <c r="E66" s="35" t="s">
        <v>206</v>
      </c>
      <c r="F66" s="38" t="s">
        <v>243</v>
      </c>
      <c r="G66" s="39">
        <v>1</v>
      </c>
    </row>
    <row r="67" spans="1:7" ht="13.8" x14ac:dyDescent="0.25">
      <c r="A67" s="14"/>
      <c r="B67" s="40">
        <f>ROW(B67) - ROW($B$7)</f>
        <v>60</v>
      </c>
      <c r="C67" s="36" t="s">
        <v>87</v>
      </c>
      <c r="D67" s="20" t="s">
        <v>146</v>
      </c>
      <c r="E67" s="36" t="s">
        <v>207</v>
      </c>
      <c r="F67" s="41" t="s">
        <v>146</v>
      </c>
      <c r="G67" s="42">
        <v>4</v>
      </c>
    </row>
    <row r="68" spans="1:7" ht="13.8" x14ac:dyDescent="0.25">
      <c r="A68" s="14"/>
      <c r="B68" s="37">
        <f>ROW(B68) - ROW($B$7)</f>
        <v>61</v>
      </c>
      <c r="C68" s="35" t="s">
        <v>88</v>
      </c>
      <c r="D68" s="19" t="s">
        <v>147</v>
      </c>
      <c r="E68" s="35" t="s">
        <v>208</v>
      </c>
      <c r="F68" s="38" t="s">
        <v>147</v>
      </c>
      <c r="G68" s="39">
        <v>1</v>
      </c>
    </row>
    <row r="69" spans="1:7" ht="13.8" x14ac:dyDescent="0.25">
      <c r="A69" s="14"/>
      <c r="B69" s="40">
        <f>ROW(B69) - ROW($B$7)</f>
        <v>62</v>
      </c>
      <c r="C69" s="36" t="s">
        <v>89</v>
      </c>
      <c r="D69" s="20" t="s">
        <v>148</v>
      </c>
      <c r="E69" s="36" t="s">
        <v>209</v>
      </c>
      <c r="F69" s="41" t="s">
        <v>244</v>
      </c>
      <c r="G69" s="42">
        <v>1</v>
      </c>
    </row>
    <row r="70" spans="1:7" ht="13.8" x14ac:dyDescent="0.25">
      <c r="A70" s="14"/>
      <c r="B70" s="37">
        <f>ROW(B70) - ROW($B$7)</f>
        <v>63</v>
      </c>
      <c r="C70" s="35" t="s">
        <v>90</v>
      </c>
      <c r="D70" s="19" t="s">
        <v>149</v>
      </c>
      <c r="E70" s="35" t="s">
        <v>210</v>
      </c>
      <c r="F70" s="38" t="s">
        <v>245</v>
      </c>
      <c r="G70" s="39">
        <v>1</v>
      </c>
    </row>
    <row r="71" spans="1:7" ht="13.8" x14ac:dyDescent="0.25">
      <c r="A71" s="14"/>
      <c r="B71" s="40">
        <f>ROW(B71) - ROW($B$7)</f>
        <v>64</v>
      </c>
      <c r="C71" s="36" t="s">
        <v>91</v>
      </c>
      <c r="D71" s="20" t="s">
        <v>150</v>
      </c>
      <c r="E71" s="36" t="s">
        <v>211</v>
      </c>
      <c r="F71" s="41" t="s">
        <v>246</v>
      </c>
      <c r="G71" s="42">
        <v>1</v>
      </c>
    </row>
    <row r="72" spans="1:7" ht="13.8" x14ac:dyDescent="0.25">
      <c r="A72" s="14"/>
      <c r="B72" s="34" t="s">
        <v>18</v>
      </c>
      <c r="C72" s="30"/>
      <c r="D72" s="30"/>
      <c r="E72" s="30"/>
      <c r="F72" s="30"/>
      <c r="G72" s="59" t="s">
        <v>26</v>
      </c>
    </row>
    <row r="73" spans="1:7" ht="13.8" x14ac:dyDescent="0.25">
      <c r="A73" s="14"/>
      <c r="B73" s="29"/>
      <c r="C73" s="31"/>
      <c r="D73" s="31"/>
      <c r="E73" s="31"/>
      <c r="F73" s="31"/>
      <c r="G73" s="6"/>
    </row>
    <row r="74" spans="1:7" ht="13.8" x14ac:dyDescent="0.25">
      <c r="A74" s="14"/>
      <c r="B74" s="29"/>
      <c r="C74" s="31"/>
      <c r="D74" s="31"/>
      <c r="E74" s="31"/>
      <c r="F74" s="31"/>
      <c r="G74" s="7"/>
    </row>
    <row r="75" spans="1:7" ht="14.4" thickBot="1" x14ac:dyDescent="0.3">
      <c r="A75" s="21"/>
      <c r="B75" s="32"/>
      <c r="C75" s="33"/>
      <c r="D75" s="33"/>
      <c r="E75" s="33"/>
      <c r="F75" s="33"/>
      <c r="G75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248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248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249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250</v>
      </c>
    </row>
    <row r="11" spans="1:2" x14ac:dyDescent="0.25">
      <c r="A11" s="2" t="s">
        <v>10</v>
      </c>
      <c r="B11" s="62" t="s">
        <v>251</v>
      </c>
    </row>
    <row r="12" spans="1:2" x14ac:dyDescent="0.25">
      <c r="A12" s="1" t="s">
        <v>11</v>
      </c>
      <c r="B12" s="61" t="s">
        <v>252</v>
      </c>
    </row>
    <row r="13" spans="1:2" x14ac:dyDescent="0.25">
      <c r="A13" s="2" t="s">
        <v>12</v>
      </c>
      <c r="B13" s="62" t="s">
        <v>253</v>
      </c>
    </row>
    <row r="14" spans="1:2" x14ac:dyDescent="0.25">
      <c r="A14" s="1" t="s">
        <v>13</v>
      </c>
      <c r="B14" s="61" t="s">
        <v>254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2026-04-09T20:14:33Z</dcterms:modified>
</cp:coreProperties>
</file>