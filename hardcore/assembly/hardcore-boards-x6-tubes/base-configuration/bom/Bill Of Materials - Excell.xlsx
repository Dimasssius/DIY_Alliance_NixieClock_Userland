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 - Hardcore\Base Configuration\BOM\"/>
    </mc:Choice>
  </mc:AlternateContent>
  <xr:revisionPtr revIDLastSave="0" documentId="8_{9C5B595E-F899-4C4A-8FC9-560781F5E8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3" l="1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<sst xmlns="http://schemas.openxmlformats.org/spreadsheetml/2006/main" count="254" uniqueCount="221">
  <si>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</si>
  <si>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</si>
  <si>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</si>
  <si>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</si>
  <si>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</si>
  <si>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</si>
  <si>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</si>
  <si>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</si>
  <si>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</si>
  <si>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</si>
  <si>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</si>
  <si>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</si>
  <si>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</si>
  <si>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</si>
  <si>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</si>
  <si>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</si>
  <si>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</si>
  <si>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</si>
  <si>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</si>
  <si>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</si>
  <si>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</si>
  <si>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</si>
  <si>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[Base Configuration] of Project [Nixie Clock Avito x6 - SMD.PrjPcb] (No PCB Document Selected)</t>
  </si>
  <si>
    <t>Nixie Clock Avito x6 - SMD.PrjPcb</t>
  </si>
  <si>
    <t>Base Configuration</t>
  </si>
  <si>
    <t>04.06.2026</t>
  </si>
  <si>
    <t>95</t>
  </si>
  <si>
    <t>Designator</t>
  </si>
  <si>
    <t>ANT1</t>
  </si>
  <si>
    <t>B1</t>
  </si>
  <si>
    <t>C1</t>
  </si>
  <si>
    <t>C2, C13, C16, C19, C26</t>
  </si>
  <si>
    <t>C3</t>
  </si>
  <si>
    <t>C4, C6</t>
  </si>
  <si>
    <t>C5, C9, C10, C11, C15, C23, C25, C27</t>
  </si>
  <si>
    <t>C12, C14</t>
  </si>
  <si>
    <t>C17</t>
  </si>
  <si>
    <t>C18</t>
  </si>
  <si>
    <t>C20</t>
  </si>
  <si>
    <t>C24, C29</t>
  </si>
  <si>
    <t>D1</t>
  </si>
  <si>
    <t>D4</t>
  </si>
  <si>
    <t>D7</t>
  </si>
  <si>
    <t>IC1, IC2, IC3, IC4, IC5, IC6, IC7, IC8</t>
  </si>
  <si>
    <t>IC9</t>
  </si>
  <si>
    <t>IC10</t>
  </si>
  <si>
    <t>IC12</t>
  </si>
  <si>
    <t>IC13</t>
  </si>
  <si>
    <t>IC14</t>
  </si>
  <si>
    <t>IC15</t>
  </si>
  <si>
    <t>IC16</t>
  </si>
  <si>
    <t>IC18</t>
  </si>
  <si>
    <t>J1, J6</t>
  </si>
  <si>
    <t>J2, J3, J4</t>
  </si>
  <si>
    <t>J5</t>
  </si>
  <si>
    <t>L1</t>
  </si>
  <si>
    <t>Q1, Q2</t>
  </si>
  <si>
    <t>Q3</t>
  </si>
  <si>
    <t>R1, R35, R36, R38</t>
  </si>
  <si>
    <t>R2</t>
  </si>
  <si>
    <t>R3, R5, R6, R7, R18, R21, R23, R29</t>
  </si>
  <si>
    <t>R4, R14</t>
  </si>
  <si>
    <t>R8</t>
  </si>
  <si>
    <t>R9</t>
  </si>
  <si>
    <t>R10</t>
  </si>
  <si>
    <t>R11</t>
  </si>
  <si>
    <t>R12</t>
  </si>
  <si>
    <t>R13</t>
  </si>
  <si>
    <t>R17</t>
  </si>
  <si>
    <t>R22, R24</t>
  </si>
  <si>
    <t>R26</t>
  </si>
  <si>
    <t>R27</t>
  </si>
  <si>
    <t>R28</t>
  </si>
  <si>
    <t>R34</t>
  </si>
  <si>
    <t>S1, S2, S3, S4</t>
  </si>
  <si>
    <t>S5</t>
  </si>
  <si>
    <t>S7, S8, S9, S10</t>
  </si>
  <si>
    <t>TR1</t>
  </si>
  <si>
    <t>Y2</t>
  </si>
  <si>
    <t>Y3</t>
  </si>
  <si>
    <t>Comment</t>
  </si>
  <si>
    <t>AN9520-245</t>
  </si>
  <si>
    <t>CR1025</t>
  </si>
  <si>
    <t>22uF</t>
  </si>
  <si>
    <t>1uF</t>
  </si>
  <si>
    <t>0.22uF</t>
  </si>
  <si>
    <t>0.1uF</t>
  </si>
  <si>
    <t>6.8pF</t>
  </si>
  <si>
    <t>10uF</t>
  </si>
  <si>
    <t>3pF</t>
  </si>
  <si>
    <t>2.4pF</t>
  </si>
  <si>
    <t>100uF</t>
  </si>
  <si>
    <t>ES1JFL</t>
  </si>
  <si>
    <t>LED0603</t>
  </si>
  <si>
    <t>SS12</t>
  </si>
  <si>
    <t>TLP291</t>
  </si>
  <si>
    <t>74HC595D</t>
  </si>
  <si>
    <t>MAX668</t>
  </si>
  <si>
    <t>ATMEGA328P-AU</t>
  </si>
  <si>
    <t>W25Q64JVSSIQ</t>
  </si>
  <si>
    <t>ESP8266EX</t>
  </si>
  <si>
    <t>DS3231SN</t>
  </si>
  <si>
    <t>AMS1117-3.3</t>
  </si>
  <si>
    <t>K155ID1</t>
  </si>
  <si>
    <t>Female Header 1x10-Pin</t>
  </si>
  <si>
    <t>Female Header 1x3-Pin</t>
  </si>
  <si>
    <t>USB_C</t>
  </si>
  <si>
    <t>2.2nH</t>
  </si>
  <si>
    <t>MMBTA42</t>
  </si>
  <si>
    <t>AON7264E</t>
  </si>
  <si>
    <t>4.7kΩ</t>
  </si>
  <si>
    <t>470Ω</t>
  </si>
  <si>
    <t>10kΩ</t>
  </si>
  <si>
    <t>33kΩ</t>
  </si>
  <si>
    <t>8.2kΩ</t>
  </si>
  <si>
    <t>1.5MΩ</t>
  </si>
  <si>
    <t>3kΩ</t>
  </si>
  <si>
    <t>56kΩ</t>
  </si>
  <si>
    <t>499kΩ</t>
  </si>
  <si>
    <t>0.5Ω</t>
  </si>
  <si>
    <t>220Ω</t>
  </si>
  <si>
    <t>1kΩ</t>
  </si>
  <si>
    <t>499Ω</t>
  </si>
  <si>
    <t>12kΩ</t>
  </si>
  <si>
    <t>5.1kΩ</t>
  </si>
  <si>
    <t>TS-1009B</t>
  </si>
  <si>
    <t>TSA016A2518C</t>
  </si>
  <si>
    <t>TS-1187A-B-A-B</t>
  </si>
  <si>
    <t>EE0504S</t>
  </si>
  <si>
    <t>CSTCE16M0V53-R0</t>
  </si>
  <si>
    <t>XTM20026000FT00351005</t>
  </si>
  <si>
    <t>Description</t>
  </si>
  <si>
    <t>Antenna, SMD, 2.1x9.5mm, 1.5dBi, Patch Antenna, 200MHz, 2.45GHz, 3W, Antennas ROHS</t>
  </si>
  <si>
    <t>Battery Clip Coin, SMD, CR1025, Cell</t>
  </si>
  <si>
    <t>Capacitor, Ceramic (MLCC), SMD, 22uF, 6.3V, ±20%, X5R, Multilayer Ceramic Capacitors MLCC - SMD/SMT, ROHS</t>
  </si>
  <si>
    <t>Capacitor, Ceramic (MLCC), SMD, 1uF, 6.3V, ±10%, X5R, Multilayer Ceramic Capacitors MLCC - SMD/SMT, ROHS</t>
  </si>
  <si>
    <t>Capacitor, Ceramic (MLCC), SMD, 1uF, 250V, ±10%, X7R, Multilayer Ceramic Capacitors MLCC - SMD/SMT, ROHS</t>
  </si>
  <si>
    <t>Capacitor, Ceramic (MLCC), SMD, 220nF, 6.3V, ±10%, X7R, Multilayer Ceramic Capacitors MLCC - SMD/SMT, ROHS</t>
  </si>
  <si>
    <t>Capacitor, Ceramic (MLCC), SMD, 100nF, 6.3V, ±10%, X7R,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</si>
  <si>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</si>
  <si>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</si>
  <si>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</si>
  <si>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</si>
  <si>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</si>
  <si>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Diode, SMD, SOD-123F, 600V, 1A, 22.55ns, 1.7V@1A, Independent Type,Fast Recovery / High Efficiency Diodes, ROHS</t>
  </si>
  <si>
    <t>LED Indication - Discrete, 0603, 20mA, 225mcd, Colorless Transparent Lens, -20℃~+85℃, Positive Stick, 620nm~630nm, Red, 120°, 50mW, 2.3V, LED Indication - Discrete,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</si>
  <si>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</si>
  <si>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</si>
  <si>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</si>
  <si>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</si>
  <si>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</si>
  <si>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NOR FLASH, SOIC-8-208mil, 64Mbit, SPI, 133MHz, NOR FLASH, ROHS</t>
  </si>
  <si>
    <t>Microcontroller, QFN-32-EP(5x5), 72.2Mbps, 2400MHz~2483.5MHz, WiFi 2.4GHz, RF Transceiver ICs, ROHS</t>
  </si>
  <si>
    <t>Real Time Clock, SOIC-16-300mil, I2C, Real Time Clocks, ROHS</t>
  </si>
  <si>
    <t>Low Drop Out (LDO) Regulator, SOT-223, SOT-89-3, 72dB@(120Hz), 1A, Fixed 3.3V, Positive electrode, 16V, Voltage Regulators - Linear, Low Drop Out (LDO) Regulators,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</si>
  <si>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</si>
  <si>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</si>
  <si>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</si>
  <si>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</si>
  <si>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0603, 2.2nH, 500mA, ±5%, 200mΩ, Fixed Inductors,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</si>
  <si>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</si>
  <si>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</si>
  <si>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4.7kΩ, ±5%, Chip Resistor - Surface Mount, ROHS</t>
  </si>
  <si>
    <t>Resistor, Thick Film Resistor, SMD, 470Ω, ±5%, Chip Resistor - Surface Mount,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</si>
  <si>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</si>
  <si>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</si>
  <si>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8.2kΩ, ±5%, Chip Resistor - Surface Mount, ROHS</t>
  </si>
  <si>
    <t>Resistor, Thick Film Resistor, SMD, 1.5MΩ, ±5%, Chip Resistor - Surface Mount, ROHS</t>
  </si>
  <si>
    <t>Resistor, Potentiometer, SMD, SMD-3P, 3.9x3.1mm, Potentiometer, 3kΩ, ±25%, 150mW, Potentiometers, Variable Resistors, ROHS</t>
  </si>
  <si>
    <t>Resistor, Thick Film Resistor, SMD, 56kΩ, ±5%, Chip Resistor - Surface Mount, ROHS</t>
  </si>
  <si>
    <t>Resistor, Thick Film Resistor, SMD, 499kΩ, ±5%, Chip Resistor - Surface Mount, ROHS</t>
  </si>
  <si>
    <t>Resistor, Thick Film Resistor, SMD, 0.1Ω, ±5%, Chip Resistor - Surface Mount, ROHS</t>
  </si>
  <si>
    <t>Resistor, Thick Film Resistor, SMD, 3kΩ, ±5%, Chip Resistor - Surface Mount, ROHS</t>
  </si>
  <si>
    <t>Resistor, Thick Film Resistor, SMD, 220Ω, ±5%, Chip Resistor - Surface Mount, ROHS</t>
  </si>
  <si>
    <t>Resistor, Thick Film Resistor, SMD, 1kΩ,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</si>
  <si>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</si>
  <si>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</si>
  <si>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5.1kΩ, ±5%, Chip Resistor - Surface Mount, ROHS</t>
  </si>
  <si>
    <t>Switch Tactile, Through Hole, 4.5x4.5mm, Round Button, 50mA, Bend-in 4.5mm, SPST, 12V, Plugin, Tactile Switches, ROHS</t>
  </si>
  <si>
    <t>Switch Tactile, SMD, 3.35x2.5mm, Oval button, 50mA, Standing paste, 4.2mm ,180gf, 12V, SMD Tactile Switches, ROHS</t>
  </si>
  <si>
    <t>Switch Tactile, SMD, 5.1x5.1mm, Without bracket, 50mA, 100000 Times, 160gf, 12V, Round, SMD Tactile Switches, ROHS</t>
  </si>
  <si>
    <t>Power Transformer, SMD-5P, 1:10, 6.4x6.4mm, Power Transformers, ROHS</t>
  </si>
  <si>
    <t>Ceramic Resonators, SMD, SMD3213-3P, 3.2x1.3mm,16MHz, 15pF, 40Ω, Ceramic Resonators, ROHS</t>
  </si>
  <si>
    <t>Crystal Oscillator, SMD, SMD3225-4P, 3.2x2.5mm, 26MHz, 12pF, ±10ppm, ±20ppm, Crystals, ROHS</t>
  </si>
  <si>
    <t>Footprint</t>
  </si>
  <si>
    <t>ANTC9520</t>
  </si>
  <si>
    <t>CAP_SMD_MLCC_C0603_(M1608)_C0402A_(M1005A)</t>
  </si>
  <si>
    <t>CAP_SMD_MLCC_C1812_(M4532)</t>
  </si>
  <si>
    <t>CAP_SMD_ELEC_ALUM_5MM_H5.4MM</t>
  </si>
  <si>
    <t>SODFL3719X135N</t>
  </si>
  <si>
    <t>LED 0603_(1608)_0402A_(1005)</t>
  </si>
  <si>
    <t>DO-214AC</t>
  </si>
  <si>
    <t>SOIC127P700X230-4N</t>
  </si>
  <si>
    <t>SOIC127P600X175-16N</t>
  </si>
  <si>
    <t>SOP50P490X110-10N</t>
  </si>
  <si>
    <t>QFP80P900X900X120-32N WITH SPI INTERFACE 2.54</t>
  </si>
  <si>
    <t>SOIC127P798X216-8N</t>
  </si>
  <si>
    <t>QFN50P500X500X90-33N-D</t>
  </si>
  <si>
    <t>SOIC127P1032X265-16N</t>
  </si>
  <si>
    <t>SOT-89-3</t>
  </si>
  <si>
    <t>DIP16</t>
  </si>
  <si>
    <t>HEADER_FEMALE_10PIN</t>
  </si>
  <si>
    <t>HEADER_FEMALE_3PIN</t>
  </si>
  <si>
    <t>USB_C_DOUBLE</t>
  </si>
  <si>
    <t>IND_SMD_0603_(M1608)</t>
  </si>
  <si>
    <t>SOT105P255X140-3N</t>
  </si>
  <si>
    <t>DFN-8-EP(3x3)</t>
  </si>
  <si>
    <t>RES_SMD_R0603_(M1608)_R0402A_(M1005A)</t>
  </si>
  <si>
    <t>TC33X</t>
  </si>
  <si>
    <t>RES_SMD_R1206_(M3216)</t>
  </si>
  <si>
    <t>TS20</t>
  </si>
  <si>
    <t>XTL_3_3213</t>
  </si>
  <si>
    <t>XTL_4_3225</t>
  </si>
  <si>
    <t>Quantity</t>
  </si>
  <si>
    <t>C:\Users\Dimasssius\Documents\Altium Designer\Projects\Nixie Clock\Avito Projects\Nixie Clock Avito x6 - SMD\Nixie Clock Avito x6 - SMD.PrjPcb</t>
  </si>
  <si>
    <t>23:03</t>
  </si>
  <si>
    <t>04.06.2026 23:03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</si>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</sst>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59" totalsRowShown="0" headerRowDxfId="10" dataDxfId="8" headerRowBorderDxfId="9" tableBorderDxfId="7" totalsRowBorderDxfId="6" headerRowCellStyle="Акцент5" dataCellStyle="40% — акцент5">
  <autoFilter ref="B7:G59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63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80</v>
      </c>
      <c r="E7" s="25" t="s">
        <v>131</v>
      </c>
      <c r="F7" s="25" t="s">
        <v>184</v>
      </c>
      <c r="G7" s="26" t="s">
        <v>213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81</v>
      </c>
      <c r="E8" s="35" t="s">
        <v>132</v>
      </c>
      <c r="F8" s="38" t="s">
        <v>185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82</v>
      </c>
      <c r="E9" s="36" t="s">
        <v>133</v>
      </c>
      <c r="F9" s="41" t="s">
        <v>82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83</v>
      </c>
      <c r="E10" s="35" t="s">
        <v>134</v>
      </c>
      <c r="F10" s="38" t="s">
        <v>186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84</v>
      </c>
      <c r="E11" s="36" t="s">
        <v>135</v>
      </c>
      <c r="F11" s="41" t="s">
        <v>186</v>
      </c>
      <c r="G11" s="42">
        <v>5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84</v>
      </c>
      <c r="E12" s="35" t="s">
        <v>136</v>
      </c>
      <c r="F12" s="38" t="s">
        <v>187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85</v>
      </c>
      <c r="E13" s="36" t="s">
        <v>137</v>
      </c>
      <c r="F13" s="41" t="s">
        <v>186</v>
      </c>
      <c r="G13" s="42">
        <v>2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86</v>
      </c>
      <c r="E14" s="35" t="s">
        <v>138</v>
      </c>
      <c r="F14" s="38" t="s">
        <v>186</v>
      </c>
      <c r="G14" s="39">
        <v>8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87</v>
      </c>
      <c r="E15" s="36" t="s">
        <v>139</v>
      </c>
      <c r="F15" s="41" t="s">
        <v>186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88</v>
      </c>
      <c r="E16" s="35" t="s">
        <v>140</v>
      </c>
      <c r="F16" s="38" t="s">
        <v>186</v>
      </c>
      <c r="G16" s="39">
        <v>1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89</v>
      </c>
      <c r="E17" s="36" t="s">
        <v>141</v>
      </c>
      <c r="F17" s="41" t="s">
        <v>186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90</v>
      </c>
      <c r="E18" s="35" t="s">
        <v>142</v>
      </c>
      <c r="F18" s="38" t="s">
        <v>186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91</v>
      </c>
      <c r="E19" s="36" t="s">
        <v>143</v>
      </c>
      <c r="F19" s="41" t="s">
        <v>188</v>
      </c>
      <c r="G19" s="42">
        <v>2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92</v>
      </c>
      <c r="E20" s="35" t="s">
        <v>144</v>
      </c>
      <c r="F20" s="38" t="s">
        <v>189</v>
      </c>
      <c r="G20" s="39">
        <v>1</v>
      </c>
    </row>
    <row r="21" spans="1:7" ht="27.6" x14ac:dyDescent="0.25">
      <c r="A21" s="14"/>
      <c r="B21" s="40">
        <f>ROW(B21) - ROW($B$7)</f>
        <v>14</v>
      </c>
      <c r="C21" s="36" t="s">
        <v>41</v>
      </c>
      <c r="D21" s="20" t="s">
        <v>93</v>
      </c>
      <c r="E21" s="36" t="s">
        <v>145</v>
      </c>
      <c r="F21" s="41" t="s">
        <v>190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94</v>
      </c>
      <c r="E22" s="35" t="s">
        <v>146</v>
      </c>
      <c r="F22" s="38" t="s">
        <v>191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95</v>
      </c>
      <c r="E23" s="36" t="s">
        <v>147</v>
      </c>
      <c r="F23" s="41" t="s">
        <v>192</v>
      </c>
      <c r="G23" s="42">
        <v>8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96</v>
      </c>
      <c r="E24" s="35" t="s">
        <v>148</v>
      </c>
      <c r="F24" s="38" t="s">
        <v>193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97</v>
      </c>
      <c r="E25" s="36" t="s">
        <v>149</v>
      </c>
      <c r="F25" s="41" t="s">
        <v>194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98</v>
      </c>
      <c r="E26" s="35" t="s">
        <v>150</v>
      </c>
      <c r="F26" s="38" t="s">
        <v>195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99</v>
      </c>
      <c r="E27" s="36" t="s">
        <v>151</v>
      </c>
      <c r="F27" s="41" t="s">
        <v>196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100</v>
      </c>
      <c r="E28" s="35" t="s">
        <v>152</v>
      </c>
      <c r="F28" s="38" t="s">
        <v>197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101</v>
      </c>
      <c r="E29" s="36" t="s">
        <v>153</v>
      </c>
      <c r="F29" s="41" t="s">
        <v>198</v>
      </c>
      <c r="G29" s="42">
        <v>1</v>
      </c>
    </row>
    <row r="30" spans="1:7" ht="27.6" x14ac:dyDescent="0.25">
      <c r="A30" s="14"/>
      <c r="B30" s="37">
        <f>ROW(B30) - ROW($B$7)</f>
        <v>23</v>
      </c>
      <c r="C30" s="35" t="s">
        <v>50</v>
      </c>
      <c r="D30" s="19" t="s">
        <v>102</v>
      </c>
      <c r="E30" s="35" t="s">
        <v>154</v>
      </c>
      <c r="F30" s="38" t="s">
        <v>199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103</v>
      </c>
      <c r="E31" s="36" t="s">
        <v>155</v>
      </c>
      <c r="F31" s="41" t="s">
        <v>200</v>
      </c>
      <c r="G31" s="42">
        <v>1</v>
      </c>
    </row>
    <row r="32" spans="1:7" ht="27.6" x14ac:dyDescent="0.25">
      <c r="A32" s="14"/>
      <c r="B32" s="37">
        <f>ROW(B32) - ROW($B$7)</f>
        <v>25</v>
      </c>
      <c r="C32" s="35" t="s">
        <v>52</v>
      </c>
      <c r="D32" s="19" t="s">
        <v>104</v>
      </c>
      <c r="E32" s="35" t="s">
        <v>156</v>
      </c>
      <c r="F32" s="38" t="s">
        <v>201</v>
      </c>
      <c r="G32" s="39">
        <v>2</v>
      </c>
    </row>
    <row r="33" spans="1:7" ht="27.6" x14ac:dyDescent="0.25">
      <c r="A33" s="14"/>
      <c r="B33" s="40">
        <f>ROW(B33) - ROW($B$7)</f>
        <v>26</v>
      </c>
      <c r="C33" s="36" t="s">
        <v>53</v>
      </c>
      <c r="D33" s="20" t="s">
        <v>105</v>
      </c>
      <c r="E33" s="36" t="s">
        <v>157</v>
      </c>
      <c r="F33" s="41" t="s">
        <v>202</v>
      </c>
      <c r="G33" s="42">
        <v>3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106</v>
      </c>
      <c r="E34" s="35" t="s">
        <v>158</v>
      </c>
      <c r="F34" s="38" t="s">
        <v>203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107</v>
      </c>
      <c r="E35" s="36" t="s">
        <v>159</v>
      </c>
      <c r="F35" s="41" t="s">
        <v>204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108</v>
      </c>
      <c r="E36" s="35" t="s">
        <v>160</v>
      </c>
      <c r="F36" s="38" t="s">
        <v>205</v>
      </c>
      <c r="G36" s="39">
        <v>2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109</v>
      </c>
      <c r="E37" s="36" t="s">
        <v>161</v>
      </c>
      <c r="F37" s="41" t="s">
        <v>206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110</v>
      </c>
      <c r="E38" s="35" t="s">
        <v>162</v>
      </c>
      <c r="F38" s="38" t="s">
        <v>207</v>
      </c>
      <c r="G38" s="39">
        <v>4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111</v>
      </c>
      <c r="E39" s="36" t="s">
        <v>163</v>
      </c>
      <c r="F39" s="41" t="s">
        <v>207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112</v>
      </c>
      <c r="E40" s="35" t="s">
        <v>164</v>
      </c>
      <c r="F40" s="38" t="s">
        <v>207</v>
      </c>
      <c r="G40" s="39">
        <v>8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113</v>
      </c>
      <c r="E41" s="36" t="s">
        <v>165</v>
      </c>
      <c r="F41" s="41" t="s">
        <v>207</v>
      </c>
      <c r="G41" s="42">
        <v>2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114</v>
      </c>
      <c r="E42" s="35" t="s">
        <v>166</v>
      </c>
      <c r="F42" s="38" t="s">
        <v>207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115</v>
      </c>
      <c r="E43" s="36" t="s">
        <v>167</v>
      </c>
      <c r="F43" s="41" t="s">
        <v>207</v>
      </c>
      <c r="G43" s="42">
        <v>1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116</v>
      </c>
      <c r="E44" s="35" t="s">
        <v>168</v>
      </c>
      <c r="F44" s="38" t="s">
        <v>208</v>
      </c>
      <c r="G44" s="39">
        <v>1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117</v>
      </c>
      <c r="E45" s="36" t="s">
        <v>169</v>
      </c>
      <c r="F45" s="41" t="s">
        <v>207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118</v>
      </c>
      <c r="E46" s="35" t="s">
        <v>170</v>
      </c>
      <c r="F46" s="38" t="s">
        <v>207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119</v>
      </c>
      <c r="E47" s="36" t="s">
        <v>171</v>
      </c>
      <c r="F47" s="41" t="s">
        <v>209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116</v>
      </c>
      <c r="E48" s="35" t="s">
        <v>172</v>
      </c>
      <c r="F48" s="38" t="s">
        <v>207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120</v>
      </c>
      <c r="E49" s="36" t="s">
        <v>173</v>
      </c>
      <c r="F49" s="41" t="s">
        <v>207</v>
      </c>
      <c r="G49" s="42">
        <v>2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121</v>
      </c>
      <c r="E50" s="35" t="s">
        <v>174</v>
      </c>
      <c r="F50" s="38" t="s">
        <v>207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122</v>
      </c>
      <c r="E51" s="36" t="s">
        <v>175</v>
      </c>
      <c r="F51" s="41" t="s">
        <v>207</v>
      </c>
      <c r="G51" s="42">
        <v>1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123</v>
      </c>
      <c r="E52" s="35" t="s">
        <v>176</v>
      </c>
      <c r="F52" s="38" t="s">
        <v>207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124</v>
      </c>
      <c r="E53" s="36" t="s">
        <v>177</v>
      </c>
      <c r="F53" s="41" t="s">
        <v>207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125</v>
      </c>
      <c r="E54" s="35" t="s">
        <v>178</v>
      </c>
      <c r="F54" s="38" t="s">
        <v>125</v>
      </c>
      <c r="G54" s="39">
        <v>4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126</v>
      </c>
      <c r="E55" s="36" t="s">
        <v>179</v>
      </c>
      <c r="F55" s="41" t="s">
        <v>210</v>
      </c>
      <c r="G55" s="42">
        <v>1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127</v>
      </c>
      <c r="E56" s="35" t="s">
        <v>180</v>
      </c>
      <c r="F56" s="38" t="s">
        <v>127</v>
      </c>
      <c r="G56" s="39">
        <v>4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128</v>
      </c>
      <c r="E57" s="36" t="s">
        <v>181</v>
      </c>
      <c r="F57" s="41" t="s">
        <v>128</v>
      </c>
      <c r="G57" s="42">
        <v>1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129</v>
      </c>
      <c r="E58" s="35" t="s">
        <v>182</v>
      </c>
      <c r="F58" s="38" t="s">
        <v>211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130</v>
      </c>
      <c r="E59" s="36" t="s">
        <v>183</v>
      </c>
      <c r="F59" s="41" t="s">
        <v>212</v>
      </c>
      <c r="G59" s="42">
        <v>1</v>
      </c>
    </row>
    <row r="60" spans="1:7" ht="13.8" x14ac:dyDescent="0.25">
      <c r="A60" s="14"/>
      <c r="B60" s="34" t="s">
        <v>18</v>
      </c>
      <c r="C60" s="30"/>
      <c r="D60" s="30"/>
      <c r="E60" s="30"/>
      <c r="F60" s="30"/>
      <c r="G60" s="59" t="s">
        <v>26</v>
      </c>
    </row>
    <row r="61" spans="1:7" ht="13.8" x14ac:dyDescent="0.25">
      <c r="A61" s="14"/>
      <c r="B61" s="29"/>
      <c r="C61" s="31"/>
      <c r="D61" s="31"/>
      <c r="E61" s="31"/>
      <c r="F61" s="31"/>
      <c r="G61" s="6"/>
    </row>
    <row r="62" spans="1:7" ht="13.8" x14ac:dyDescent="0.25">
      <c r="A62" s="14"/>
      <c r="B62" s="29"/>
      <c r="C62" s="31"/>
      <c r="D62" s="31"/>
      <c r="E62" s="31"/>
      <c r="F62" s="31"/>
      <c r="G62" s="7"/>
    </row>
    <row r="63" spans="1:7" ht="14.4" thickBot="1" x14ac:dyDescent="0.3">
      <c r="A63" s="21"/>
      <c r="B63" s="32"/>
      <c r="C63" s="33"/>
      <c r="D63" s="33"/>
      <c r="E63" s="33"/>
      <c r="F63" s="33"/>
      <c r="G63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214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214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215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216</v>
      </c>
    </row>
    <row r="11" spans="1:2" x14ac:dyDescent="0.25">
      <c r="A11" s="2" t="s">
        <v>10</v>
      </c>
      <c r="B11" s="62" t="s">
        <v>217</v>
      </c>
    </row>
    <row r="12" spans="1:2" x14ac:dyDescent="0.25">
      <c r="A12" s="1" t="s">
        <v>11</v>
      </c>
      <c r="B12" s="61" t="s">
        <v>218</v>
      </c>
    </row>
    <row r="13" spans="1:2" x14ac:dyDescent="0.25">
      <c r="A13" s="2" t="s">
        <v>12</v>
      </c>
      <c r="B13" s="62" t="s">
        <v>219</v>
      </c>
    </row>
    <row r="14" spans="1:2" x14ac:dyDescent="0.25">
      <c r="A14" s="1" t="s">
        <v>13</v>
      </c>
      <c r="B14" s="61" t="s">
        <v>220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2026-06-04T20:03:59Z</dcterms:modified>
</cp:coreProperties>
</file>