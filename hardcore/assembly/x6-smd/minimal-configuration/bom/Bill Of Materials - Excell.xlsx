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6 - SMD\Minimal Configuration\BOM\"/>
    </mc:Choice>
  </mc:AlternateContent>
  <xr:revisionPtr revIDLastSave="0" documentId="8_{1C48466A-2FF7-4B3B-9D82-49F090FB1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1" i="3" l="1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<sst xmlns="http://schemas.openxmlformats.org/spreadsheetml/2006/main" count="182" uniqueCount="158">
  <si>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</si>
  <si>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</si>
  <si>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</si>
  <si>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</si>
  <si>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</si>
  <si>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</si>
  <si>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</si>
  <si>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</si>
  <si>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</si>
  <si>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</si>
  <si>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</si>
  <si>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</si>
  <si>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</si>
  <si>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</si>
  <si>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</si>
  <si>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</si>
  <si>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</si>
  <si>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</si>
  <si>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</si>
  <si>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</si>
  <si>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</si>
  <si>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</si>
  <si>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Bill Of Materials - Excell for Variant [Minimal Configuration] of Project [Nixie Clock Avito x6 - SMD.PrjPcb] (No PCB Document Selected)</t>
  </si>
  <si>
    <t>Nixie Clock Avito x6 - SMD.PrjPcb</t>
  </si>
  <si>
    <t>Minimal Configuration</t>
  </si>
  <si>
    <t>09.04.2026</t>
  </si>
  <si>
    <t>58</t>
  </si>
  <si>
    <t>Designator</t>
  </si>
  <si>
    <t>B1</t>
  </si>
  <si>
    <t>C1</t>
  </si>
  <si>
    <t>C2</t>
  </si>
  <si>
    <t>C3</t>
  </si>
  <si>
    <t>C4, C6</t>
  </si>
  <si>
    <t>C5, C9, C10, C11, C23, C25</t>
  </si>
  <si>
    <t>C24</t>
  </si>
  <si>
    <t>D1</t>
  </si>
  <si>
    <t>D7</t>
  </si>
  <si>
    <t>IC1, IC2, IC3, IC4, IC5, IC6, IC7, IC8</t>
  </si>
  <si>
    <t>IC9</t>
  </si>
  <si>
    <t>IC10</t>
  </si>
  <si>
    <t>IC12</t>
  </si>
  <si>
    <t>IC15</t>
  </si>
  <si>
    <t>IC18</t>
  </si>
  <si>
    <t>J1, J6</t>
  </si>
  <si>
    <t>J3, J4</t>
  </si>
  <si>
    <t>J5</t>
  </si>
  <si>
    <t>Q3</t>
  </si>
  <si>
    <t>R1, R35, R36, R38</t>
  </si>
  <si>
    <t>R2</t>
  </si>
  <si>
    <t>R4, R14</t>
  </si>
  <si>
    <t>R8</t>
  </si>
  <si>
    <t>R9</t>
  </si>
  <si>
    <t>R10</t>
  </si>
  <si>
    <t>R12</t>
  </si>
  <si>
    <t>R13</t>
  </si>
  <si>
    <t>R17</t>
  </si>
  <si>
    <t>R18, R21</t>
  </si>
  <si>
    <t>R22</t>
  </si>
  <si>
    <t>S2, S3, S4</t>
  </si>
  <si>
    <t>S7, S8, S9</t>
  </si>
  <si>
    <t>TR1</t>
  </si>
  <si>
    <t>Y2</t>
  </si>
  <si>
    <t>Comment</t>
  </si>
  <si>
    <t>CR1025</t>
  </si>
  <si>
    <t>22uF</t>
  </si>
  <si>
    <t>1uF</t>
  </si>
  <si>
    <t>0.22uF</t>
  </si>
  <si>
    <t>0.1uF</t>
  </si>
  <si>
    <t>100uF</t>
  </si>
  <si>
    <t>ES1JFL</t>
  </si>
  <si>
    <t>SS12</t>
  </si>
  <si>
    <t>TLP291</t>
  </si>
  <si>
    <t>74HC595D</t>
  </si>
  <si>
    <t>MAX668</t>
  </si>
  <si>
    <t>ATMEGA328P-AU</t>
  </si>
  <si>
    <t>DS3231SN</t>
  </si>
  <si>
    <t>K155ID1</t>
  </si>
  <si>
    <t>Female Header 1x10-Pin</t>
  </si>
  <si>
    <t>Female Header 1x3-Pin</t>
  </si>
  <si>
    <t>USB_C</t>
  </si>
  <si>
    <t>AON7264E</t>
  </si>
  <si>
    <t>4.7kΩ</t>
  </si>
  <si>
    <t>470Ω</t>
  </si>
  <si>
    <t>33kΩ</t>
  </si>
  <si>
    <t>8.2kΩ</t>
  </si>
  <si>
    <t>1.5MΩ</t>
  </si>
  <si>
    <t>3kΩ</t>
  </si>
  <si>
    <t>499kΩ</t>
  </si>
  <si>
    <t>0.1Ω</t>
  </si>
  <si>
    <t>10kΩ</t>
  </si>
  <si>
    <t>220Ω</t>
  </si>
  <si>
    <t>TS-1009B</t>
  </si>
  <si>
    <t>TS-1187A-B-A-B</t>
  </si>
  <si>
    <t>EE0504S</t>
  </si>
  <si>
    <t>CSTCE16M0V53-R0</t>
  </si>
  <si>
    <t>Description</t>
  </si>
  <si>
    <t>Battery Clip Coin, SMD, CR1025, Cell</t>
  </si>
  <si>
    <t>Capacitor, Ceramic (MLCC), SMD, 22uF, 6.3V, ±20%, X5R, Multilayer Ceramic Capacitors MLCC - SMD/SMT, ROHS</t>
  </si>
  <si>
    <t>Capacitor, Ceramic (MLCC), SMD, 1uF, 6.3V, ±10%, X5R, Multilayer Ceramic Capacitors MLCC - SMD/SMT, ROHS</t>
  </si>
  <si>
    <t>Capacitor, Ceramic (MLCC), SMD, 1uF, 250V, ±10%, X7R, Multilayer Ceramic Capacitors MLCC - SMD/SMT, ROHS</t>
  </si>
  <si>
    <t>Capacitor, Ceramic (MLCC), SMD, 220nF, 6.3V, ±10%, X7R, Multilayer Ceramic Capacitors MLCC - SMD/SMT, ROHS</t>
  </si>
  <si>
    <t>Capacitor, Ceramic (MLCC), SMD, 100nF, 6.3V, ±10%, X7R, Multilayer Ceramic Capacitors MLCC - SMD/SMT, ROHS</t>
  </si>
  <si>
    <t>Capacitor, Aluminum Electrolytic Capacitor, SMD, D5xL5.4mm, 100uF, 6.3V, ±20%, Aluminum Electrolytic Capacitors - SMD, ROHS</t>
  </si>
  <si>
    <t>Diode, SMD, SOD-123F, 600V, 1A, 22.55ns, 1.7V@1A, Independent Type,Fast Recovery / High Efficiency Diodes, ROHS</t>
  </si>
  <si>
    <t>Diode Schottky, SMD, SMA(DO-214AC), 20V, 1A,  500mV@1A, Schottky Diodes, ROHS</t>
  </si>
  <si>
    <t>Photovoltaic Output Optoisolator, SOP-4-1.27mm, 80V, 3.75kV, 50mA, 300mV@2.4mA, 8mA, 1, 5V, 1.25V, DC  Transistor, Photovoltaic Output Optoisolators, ROHS</t>
  </si>
  <si>
    <t>Shift Register, SOIC-16, Serial To Serial Or Parallel Shift Register, ROHS</t>
  </si>
  <si>
    <t>AC-DC Controller and Regulator, MSOP-10, 100kHz~500kHz, 3V~28V, AC-DC Controllers and Regulators, ROHS</t>
  </si>
  <si>
    <t>Microcontroller, TQFP-32(7x7), AVR, 20MHz, Microcontrollers (MCU/MPU/SOC), ROHS</t>
  </si>
  <si>
    <t>Real Time Clock, SOIC-16-300mil, I2C, Real Time Clocks, ROHS</t>
  </si>
  <si>
    <t>Decoder, DIP-16, 5V±5%, 25mA, 150ns, High Voltage Output, BCD to Decimal Decoders, RoHS</t>
  </si>
  <si>
    <t>Female Header, 1x10-Pin, 10P, P=2.54mm, Direct Insert, H:8.5mm, W:2.54mm, D:3.2mm, Single Row, Black Brass, Top Square, Hole Plugin, 3A, 20mΩ, 1000V, -40℃~+105℃, Female Headers, ROHS</t>
  </si>
  <si>
    <t>Female Header, 1x3-Pin, 3P, P=2.54mm, Direct Insert, H:8.5mm, W:2.54mm, D:3.2mm, Single Row, Black Brass, Top Square, Hole Plugin, 3A, 20mΩ, 1000V, -40℃~+105℃, Female Headers, ROHS</t>
  </si>
  <si>
    <t>USB Connector, 5A, USB 3.1, 1 Horizontal Attachment, 16P, Female, -25℃~+85℃, Type-C, SMD, USB Connectors, ROHS</t>
  </si>
  <si>
    <t>MOSFET (N-Channel), DFN-8(3x3), 60V, 28A, 11W, 13.3mΩ@4.5V, 28A, 1.8V, 1 N-channel, MOSFETs, ROHS</t>
  </si>
  <si>
    <t>Resistor, Thick Film Resistor, SMD, 4.7kΩ, ±5%, Chip Resistor - Surface Mount, ROHS</t>
  </si>
  <si>
    <t>Resistor, Thick Film Resistor, SMD, 470Ω, ±5%, Chip Resistor - Surface Mount, ROHS</t>
  </si>
  <si>
    <t>Resistor, Thick Film Resistor, SMD, 33kΩ, ±5%, Chip Resistor - Surface Mount, ROHS</t>
  </si>
  <si>
    <t>Resistor, Thick Film Resistor, SMD, 8.2kΩ, ±5%, Chip Resistor - Surface Mount, ROHS</t>
  </si>
  <si>
    <t>Resistor, Thick Film Resistor, SMD, 1.5MΩ, ±5%, Chip Resistor - Surface Mount, ROHS</t>
  </si>
  <si>
    <t>Resistor, Potentiometer, SMD, SMD-3P, 3.9x3.1mm, Potentiometer, 3kΩ, ±25%, 150mW, Potentiometers, Variable Resistors, ROHS</t>
  </si>
  <si>
    <t>Resistor, Thick Film Resistor, SMD, 499kΩ, ±5%, Chip Resistor - Surface Mount, ROHS</t>
  </si>
  <si>
    <t>Resistor, Thick Film Resistor, SMD, 0.1Ω, ±5%, Chip Resistor - Surface Mount, ROHS</t>
  </si>
  <si>
    <t>Resistor, Thick Film Resistor, SMD, 3kΩ, ±5%, Chip Resistor - Surface Mount, ROHS</t>
  </si>
  <si>
    <t>Resistor, Thick Film Resistor, SMD, 10kΩ, ±5%, Chip Resistor - Surface Mount, ROHS</t>
  </si>
  <si>
    <t>Resistor, Thick Film Resistor, SMD, 220Ω, ±5%, Chip Resistor - Surface Mount, ROHS</t>
  </si>
  <si>
    <t>Switch Tactile Through Hole, 4.5x4.5mm, Round Button, 50mA, Bend-in 4.5mm, SPST, 12V, Plugin, Tactile Switches, ROHS</t>
  </si>
  <si>
    <t>Switch Tactile SMD, 5.1x5.1mm, Without bracket, 50mA, 100000 Times, 160gf, 12V, Round, SMD Tactile Switches, ROHS</t>
  </si>
  <si>
    <t>Power Transformer, SMD-5P, 1:10, 6.4x6.4mm, Power Transformers, ROHS</t>
  </si>
  <si>
    <t>Ceramic Resonators, SMD, SMD3213-3P, 3.2x1.3mm,16MHz, 15pF, 40Ω, Ceramic Resonators, ROHS</t>
  </si>
  <si>
    <t>Footprint</t>
  </si>
  <si>
    <t>CAP_SMD_MLCC_C0603_(M1608)_C0402A_(M1005A)</t>
  </si>
  <si>
    <t>CAP_SMD_MLCC_C1812_(M4532)</t>
  </si>
  <si>
    <t>CAP_SMD_ELEC_ALUM_5MM_H5.4MM</t>
  </si>
  <si>
    <t>SODFL3719X135N</t>
  </si>
  <si>
    <t>DO-214AC</t>
  </si>
  <si>
    <t>SOIC127P700X230-4N</t>
  </si>
  <si>
    <t>SOIC127P600X175-16N</t>
  </si>
  <si>
    <t>SOP50P490X110-10N</t>
  </si>
  <si>
    <t>QFP80P900X900X120-32N WITH SPI INTERFACE 2.54</t>
  </si>
  <si>
    <t>SOIC127P1032X265-16N</t>
  </si>
  <si>
    <t>DIP16</t>
  </si>
  <si>
    <t>HEADER_FEMALE_10PIN_LOW</t>
  </si>
  <si>
    <t>HEADER_FEMALE_3PIN_LOW</t>
  </si>
  <si>
    <t>USB_C_DOUBLE</t>
  </si>
  <si>
    <t>DFN-8-EP(3x3)</t>
  </si>
  <si>
    <t>RES_SMD_R0603_(M1608)_R0402A_(M1005A)</t>
  </si>
  <si>
    <t>TC33X</t>
  </si>
  <si>
    <t>RES_SMD_R1206_(M3216)</t>
  </si>
  <si>
    <t>XTL_3_3213</t>
  </si>
  <si>
    <t>Quantity</t>
  </si>
  <si>
    <t>C:\Users\Dimasssius\Documents\Altium Designer\Projects\Nixie Clock\Avito Projects\Nixie Clock Avito x6 - SMD\Nixie Clock Avito x6 - SMD.PrjPcb</t>
  </si>
  <si>
    <t>23:17</t>
  </si>
  <si>
    <t>09.04.2026 23:17</t>
  </si>
  <si>
    <t>Bill Of Materials - Excell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</si>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</sst>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41" totalsRowShown="0" headerRowDxfId="10" dataDxfId="8" headerRowBorderDxfId="9" tableBorderDxfId="7" totalsRowBorderDxfId="6" headerRowCellStyle="Акцент5" dataCellStyle="40% — акцент5">
  <autoFilter ref="B7:G41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5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62</v>
      </c>
      <c r="E7" s="25" t="s">
        <v>95</v>
      </c>
      <c r="F7" s="25" t="s">
        <v>130</v>
      </c>
      <c r="G7" s="26" t="s">
        <v>150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63</v>
      </c>
      <c r="E8" s="35" t="s">
        <v>96</v>
      </c>
      <c r="F8" s="38" t="s">
        <v>63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64</v>
      </c>
      <c r="E9" s="36" t="s">
        <v>97</v>
      </c>
      <c r="F9" s="41" t="s">
        <v>131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65</v>
      </c>
      <c r="E10" s="35" t="s">
        <v>98</v>
      </c>
      <c r="F10" s="38" t="s">
        <v>131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65</v>
      </c>
      <c r="E11" s="36" t="s">
        <v>99</v>
      </c>
      <c r="F11" s="41" t="s">
        <v>132</v>
      </c>
      <c r="G11" s="42">
        <v>1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66</v>
      </c>
      <c r="E12" s="35" t="s">
        <v>100</v>
      </c>
      <c r="F12" s="38" t="s">
        <v>131</v>
      </c>
      <c r="G12" s="39">
        <v>2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67</v>
      </c>
      <c r="E13" s="36" t="s">
        <v>101</v>
      </c>
      <c r="F13" s="41" t="s">
        <v>131</v>
      </c>
      <c r="G13" s="42">
        <v>6</v>
      </c>
    </row>
    <row r="14" spans="1:8" ht="13.8" x14ac:dyDescent="0.25">
      <c r="A14" s="14"/>
      <c r="B14" s="37">
        <f>ROW(B14) - ROW($B$7)</f>
        <v>7</v>
      </c>
      <c r="C14" s="35" t="s">
        <v>34</v>
      </c>
      <c r="D14" s="19" t="s">
        <v>68</v>
      </c>
      <c r="E14" s="35" t="s">
        <v>102</v>
      </c>
      <c r="F14" s="38" t="s">
        <v>133</v>
      </c>
      <c r="G14" s="39">
        <v>1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69</v>
      </c>
      <c r="E15" s="36" t="s">
        <v>103</v>
      </c>
      <c r="F15" s="41" t="s">
        <v>134</v>
      </c>
      <c r="G15" s="42">
        <v>1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70</v>
      </c>
      <c r="E16" s="35" t="s">
        <v>104</v>
      </c>
      <c r="F16" s="38" t="s">
        <v>135</v>
      </c>
      <c r="G16" s="39">
        <v>1</v>
      </c>
    </row>
    <row r="17" spans="1:7" ht="27.6" x14ac:dyDescent="0.25">
      <c r="A17" s="14"/>
      <c r="B17" s="40">
        <f>ROW(B17) - ROW($B$7)</f>
        <v>10</v>
      </c>
      <c r="C17" s="36" t="s">
        <v>37</v>
      </c>
      <c r="D17" s="20" t="s">
        <v>71</v>
      </c>
      <c r="E17" s="36" t="s">
        <v>105</v>
      </c>
      <c r="F17" s="41" t="s">
        <v>136</v>
      </c>
      <c r="G17" s="42">
        <v>8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72</v>
      </c>
      <c r="E18" s="35" t="s">
        <v>106</v>
      </c>
      <c r="F18" s="38" t="s">
        <v>137</v>
      </c>
      <c r="G18" s="39">
        <v>1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73</v>
      </c>
      <c r="E19" s="36" t="s">
        <v>107</v>
      </c>
      <c r="F19" s="41" t="s">
        <v>138</v>
      </c>
      <c r="G19" s="42">
        <v>1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74</v>
      </c>
      <c r="E20" s="35" t="s">
        <v>108</v>
      </c>
      <c r="F20" s="38" t="s">
        <v>139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75</v>
      </c>
      <c r="E21" s="36" t="s">
        <v>109</v>
      </c>
      <c r="F21" s="41" t="s">
        <v>140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76</v>
      </c>
      <c r="E22" s="35" t="s">
        <v>110</v>
      </c>
      <c r="F22" s="38" t="s">
        <v>141</v>
      </c>
      <c r="G22" s="39">
        <v>1</v>
      </c>
    </row>
    <row r="23" spans="1:7" ht="27.6" x14ac:dyDescent="0.25">
      <c r="A23" s="14"/>
      <c r="B23" s="40">
        <f>ROW(B23) - ROW($B$7)</f>
        <v>16</v>
      </c>
      <c r="C23" s="36" t="s">
        <v>43</v>
      </c>
      <c r="D23" s="20" t="s">
        <v>77</v>
      </c>
      <c r="E23" s="36" t="s">
        <v>111</v>
      </c>
      <c r="F23" s="41" t="s">
        <v>142</v>
      </c>
      <c r="G23" s="42">
        <v>2</v>
      </c>
    </row>
    <row r="24" spans="1:7" ht="27.6" x14ac:dyDescent="0.25">
      <c r="A24" s="14"/>
      <c r="B24" s="37">
        <f>ROW(B24) - ROW($B$7)</f>
        <v>17</v>
      </c>
      <c r="C24" s="35" t="s">
        <v>44</v>
      </c>
      <c r="D24" s="19" t="s">
        <v>78</v>
      </c>
      <c r="E24" s="35" t="s">
        <v>112</v>
      </c>
      <c r="F24" s="38" t="s">
        <v>143</v>
      </c>
      <c r="G24" s="39">
        <v>2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79</v>
      </c>
      <c r="E25" s="36" t="s">
        <v>113</v>
      </c>
      <c r="F25" s="41" t="s">
        <v>144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80</v>
      </c>
      <c r="E26" s="35" t="s">
        <v>114</v>
      </c>
      <c r="F26" s="38" t="s">
        <v>145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81</v>
      </c>
      <c r="E27" s="36" t="s">
        <v>115</v>
      </c>
      <c r="F27" s="41" t="s">
        <v>146</v>
      </c>
      <c r="G27" s="42">
        <v>4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82</v>
      </c>
      <c r="E28" s="35" t="s">
        <v>116</v>
      </c>
      <c r="F28" s="38" t="s">
        <v>146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83</v>
      </c>
      <c r="E29" s="36" t="s">
        <v>117</v>
      </c>
      <c r="F29" s="41" t="s">
        <v>146</v>
      </c>
      <c r="G29" s="42">
        <v>2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84</v>
      </c>
      <c r="E30" s="35" t="s">
        <v>118</v>
      </c>
      <c r="F30" s="38" t="s">
        <v>146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85</v>
      </c>
      <c r="E31" s="36" t="s">
        <v>119</v>
      </c>
      <c r="F31" s="41" t="s">
        <v>146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86</v>
      </c>
      <c r="E32" s="35" t="s">
        <v>120</v>
      </c>
      <c r="F32" s="38" t="s">
        <v>147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87</v>
      </c>
      <c r="E33" s="36" t="s">
        <v>121</v>
      </c>
      <c r="F33" s="41" t="s">
        <v>146</v>
      </c>
      <c r="G33" s="42">
        <v>1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88</v>
      </c>
      <c r="E34" s="35" t="s">
        <v>122</v>
      </c>
      <c r="F34" s="38" t="s">
        <v>148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86</v>
      </c>
      <c r="E35" s="36" t="s">
        <v>123</v>
      </c>
      <c r="F35" s="41" t="s">
        <v>146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89</v>
      </c>
      <c r="E36" s="35" t="s">
        <v>124</v>
      </c>
      <c r="F36" s="38" t="s">
        <v>146</v>
      </c>
      <c r="G36" s="39">
        <v>2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90</v>
      </c>
      <c r="E37" s="36" t="s">
        <v>125</v>
      </c>
      <c r="F37" s="41" t="s">
        <v>146</v>
      </c>
      <c r="G37" s="42">
        <v>1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91</v>
      </c>
      <c r="E38" s="35" t="s">
        <v>126</v>
      </c>
      <c r="F38" s="38" t="s">
        <v>91</v>
      </c>
      <c r="G38" s="39">
        <v>3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92</v>
      </c>
      <c r="E39" s="36" t="s">
        <v>127</v>
      </c>
      <c r="F39" s="41" t="s">
        <v>92</v>
      </c>
      <c r="G39" s="42">
        <v>3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93</v>
      </c>
      <c r="E40" s="35" t="s">
        <v>128</v>
      </c>
      <c r="F40" s="38" t="s">
        <v>93</v>
      </c>
      <c r="G40" s="39">
        <v>1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94</v>
      </c>
      <c r="E41" s="36" t="s">
        <v>129</v>
      </c>
      <c r="F41" s="41" t="s">
        <v>149</v>
      </c>
      <c r="G41" s="42">
        <v>1</v>
      </c>
    </row>
    <row r="42" spans="1:7" ht="13.8" x14ac:dyDescent="0.25">
      <c r="A42" s="14"/>
      <c r="B42" s="34" t="s">
        <v>18</v>
      </c>
      <c r="C42" s="30"/>
      <c r="D42" s="30"/>
      <c r="E42" s="30"/>
      <c r="F42" s="30"/>
      <c r="G42" s="59" t="s">
        <v>26</v>
      </c>
    </row>
    <row r="43" spans="1:7" ht="13.8" x14ac:dyDescent="0.25">
      <c r="A43" s="14"/>
      <c r="B43" s="29"/>
      <c r="C43" s="31"/>
      <c r="D43" s="31"/>
      <c r="E43" s="31"/>
      <c r="F43" s="31"/>
      <c r="G43" s="6"/>
    </row>
    <row r="44" spans="1:7" ht="13.8" x14ac:dyDescent="0.25">
      <c r="A44" s="14"/>
      <c r="B44" s="29"/>
      <c r="C44" s="31"/>
      <c r="D44" s="31"/>
      <c r="E44" s="31"/>
      <c r="F44" s="31"/>
      <c r="G44" s="7"/>
    </row>
    <row r="45" spans="1:7" ht="14.4" thickBot="1" x14ac:dyDescent="0.3">
      <c r="A45" s="21"/>
      <c r="B45" s="32"/>
      <c r="C45" s="33"/>
      <c r="D45" s="33"/>
      <c r="E45" s="33"/>
      <c r="F45" s="33"/>
      <c r="G45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151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151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152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153</v>
      </c>
    </row>
    <row r="11" spans="1:2" x14ac:dyDescent="0.25">
      <c r="A11" s="2" t="s">
        <v>10</v>
      </c>
      <c r="B11" s="62" t="s">
        <v>154</v>
      </c>
    </row>
    <row r="12" spans="1:2" x14ac:dyDescent="0.25">
      <c r="A12" s="1" t="s">
        <v>11</v>
      </c>
      <c r="B12" s="61" t="s">
        <v>155</v>
      </c>
    </row>
    <row r="13" spans="1:2" x14ac:dyDescent="0.25">
      <c r="A13" s="2" t="s">
        <v>12</v>
      </c>
      <c r="B13" s="62" t="s">
        <v>156</v>
      </c>
    </row>
    <row r="14" spans="1:2" x14ac:dyDescent="0.25">
      <c r="A14" s="1" t="s">
        <v>13</v>
      </c>
      <c r="B14" s="61" t="s">
        <v>157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2026-04-09T20:17:36Z</dcterms:modified>
</cp:coreProperties>
</file>